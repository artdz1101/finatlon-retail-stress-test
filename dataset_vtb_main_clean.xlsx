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zyub\Downloads\"/>
    </mc:Choice>
  </mc:AlternateContent>
  <xr:revisionPtr revIDLastSave="0" documentId="11_550E59F64020B8D079561D4FCEEF16EFC5E7E623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_MASTER" sheetId="1" r:id="rId1"/>
    <sheet name="SOURCES" sheetId="2" r:id="rId2"/>
    <sheet name="MODEL_DATA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7" l="1"/>
  <c r="F27" i="7"/>
  <c r="E27" i="7"/>
  <c r="D27" i="7"/>
  <c r="B27" i="7"/>
  <c r="G26" i="7"/>
  <c r="F26" i="7"/>
  <c r="E26" i="7"/>
  <c r="D26" i="7"/>
  <c r="B26" i="7"/>
  <c r="G25" i="7"/>
  <c r="F25" i="7"/>
  <c r="E25" i="7"/>
  <c r="D25" i="7"/>
  <c r="B25" i="7"/>
  <c r="G24" i="7"/>
  <c r="F24" i="7"/>
  <c r="E24" i="7"/>
  <c r="D24" i="7"/>
  <c r="B24" i="7"/>
  <c r="G23" i="7"/>
  <c r="F23" i="7"/>
  <c r="E23" i="7"/>
  <c r="D23" i="7"/>
  <c r="B23" i="7"/>
  <c r="G22" i="7"/>
  <c r="F22" i="7"/>
  <c r="E22" i="7"/>
  <c r="J22" i="7" s="1"/>
  <c r="D22" i="7"/>
  <c r="B22" i="7"/>
  <c r="G21" i="7"/>
  <c r="F21" i="7"/>
  <c r="E21" i="7"/>
  <c r="D21" i="7"/>
  <c r="B21" i="7"/>
  <c r="G20" i="7"/>
  <c r="F20" i="7"/>
  <c r="E20" i="7"/>
  <c r="D20" i="7"/>
  <c r="B20" i="7"/>
  <c r="G19" i="7"/>
  <c r="F19" i="7"/>
  <c r="E19" i="7"/>
  <c r="D19" i="7"/>
  <c r="B19" i="7"/>
  <c r="G18" i="7"/>
  <c r="F18" i="7"/>
  <c r="E18" i="7"/>
  <c r="D18" i="7"/>
  <c r="B18" i="7"/>
  <c r="G17" i="7"/>
  <c r="F17" i="7"/>
  <c r="E17" i="7"/>
  <c r="D17" i="7"/>
  <c r="B17" i="7"/>
  <c r="G16" i="7"/>
  <c r="F16" i="7"/>
  <c r="E16" i="7"/>
  <c r="D16" i="7"/>
  <c r="B16" i="7"/>
  <c r="G15" i="7"/>
  <c r="F15" i="7"/>
  <c r="E15" i="7"/>
  <c r="D15" i="7"/>
  <c r="B15" i="7"/>
  <c r="G14" i="7"/>
  <c r="F14" i="7"/>
  <c r="E14" i="7"/>
  <c r="D14" i="7"/>
  <c r="B14" i="7"/>
  <c r="J13" i="7"/>
  <c r="G13" i="7"/>
  <c r="K13" i="7" s="1"/>
  <c r="L13" i="7" s="1"/>
  <c r="A13" i="7" s="1"/>
  <c r="F13" i="7"/>
  <c r="E13" i="7"/>
  <c r="D13" i="7"/>
  <c r="B13" i="7"/>
  <c r="G12" i="7"/>
  <c r="F12" i="7"/>
  <c r="E12" i="7"/>
  <c r="D12" i="7"/>
  <c r="B12" i="7"/>
  <c r="G11" i="7"/>
  <c r="F11" i="7"/>
  <c r="E11" i="7"/>
  <c r="D11" i="7"/>
  <c r="B11" i="7"/>
  <c r="G10" i="7"/>
  <c r="F10" i="7"/>
  <c r="E10" i="7"/>
  <c r="D10" i="7"/>
  <c r="B10" i="7"/>
  <c r="G9" i="7"/>
  <c r="F9" i="7"/>
  <c r="E9" i="7"/>
  <c r="D9" i="7"/>
  <c r="B9" i="7"/>
  <c r="G8" i="7"/>
  <c r="F8" i="7"/>
  <c r="E8" i="7"/>
  <c r="D8" i="7"/>
  <c r="B8" i="7"/>
  <c r="G7" i="7"/>
  <c r="F7" i="7"/>
  <c r="E7" i="7"/>
  <c r="D7" i="7"/>
  <c r="B7" i="7"/>
  <c r="G6" i="7"/>
  <c r="F6" i="7"/>
  <c r="E6" i="7"/>
  <c r="D6" i="7"/>
  <c r="B6" i="7"/>
  <c r="G5" i="7"/>
  <c r="F5" i="7"/>
  <c r="E5" i="7"/>
  <c r="D5" i="7"/>
  <c r="B5" i="7"/>
  <c r="G4" i="7"/>
  <c r="F4" i="7"/>
  <c r="E4" i="7"/>
  <c r="D4" i="7"/>
  <c r="B4" i="7"/>
  <c r="J26" i="7" l="1"/>
  <c r="K26" i="7" s="1"/>
  <c r="L26" i="7" s="1"/>
  <c r="A26" i="7" s="1"/>
  <c r="J25" i="7"/>
  <c r="K25" i="7" s="1"/>
  <c r="L25" i="7" s="1"/>
  <c r="A25" i="7" s="1"/>
  <c r="J27" i="7"/>
  <c r="K27" i="7" s="1"/>
  <c r="L27" i="7" s="1"/>
  <c r="A27" i="7" s="1"/>
  <c r="J24" i="7"/>
  <c r="K24" i="7" s="1"/>
  <c r="L24" i="7" s="1"/>
  <c r="A24" i="7" s="1"/>
  <c r="J23" i="7"/>
  <c r="K23" i="7" s="1"/>
  <c r="L23" i="7" s="1"/>
  <c r="A23" i="7" s="1"/>
  <c r="J21" i="7"/>
  <c r="K21" i="7" s="1"/>
  <c r="L21" i="7" s="1"/>
  <c r="A21" i="7" s="1"/>
  <c r="J20" i="7"/>
  <c r="K20" i="7" s="1"/>
  <c r="L20" i="7" s="1"/>
  <c r="A20" i="7" s="1"/>
  <c r="J19" i="7"/>
  <c r="K19" i="7" s="1"/>
  <c r="L19" i="7" s="1"/>
  <c r="A19" i="7" s="1"/>
  <c r="J16" i="7"/>
  <c r="K16" i="7" s="1"/>
  <c r="L16" i="7" s="1"/>
  <c r="A16" i="7" s="1"/>
  <c r="J18" i="7"/>
  <c r="K18" i="7" s="1"/>
  <c r="L18" i="7" s="1"/>
  <c r="A18" i="7" s="1"/>
  <c r="J17" i="7"/>
  <c r="K17" i="7" s="1"/>
  <c r="L17" i="7" s="1"/>
  <c r="A17" i="7" s="1"/>
  <c r="J12" i="7"/>
  <c r="K12" i="7" s="1"/>
  <c r="L12" i="7" s="1"/>
  <c r="A12" i="7" s="1"/>
  <c r="J14" i="7"/>
  <c r="K14" i="7" s="1"/>
  <c r="L14" i="7" s="1"/>
  <c r="A14" i="7" s="1"/>
  <c r="J15" i="7"/>
  <c r="K15" i="7" s="1"/>
  <c r="L15" i="7" s="1"/>
  <c r="A15" i="7" s="1"/>
  <c r="J11" i="7"/>
  <c r="K11" i="7" s="1"/>
  <c r="L11" i="7" s="1"/>
  <c r="A11" i="7" s="1"/>
  <c r="J10" i="7"/>
  <c r="K10" i="7" s="1"/>
  <c r="L10" i="7" s="1"/>
  <c r="A10" i="7" s="1"/>
  <c r="J9" i="7"/>
  <c r="K9" i="7" s="1"/>
  <c r="L9" i="7" s="1"/>
  <c r="A9" i="7" s="1"/>
  <c r="J8" i="7"/>
  <c r="K8" i="7" s="1"/>
  <c r="L8" i="7" s="1"/>
  <c r="A8" i="7" s="1"/>
  <c r="J7" i="7"/>
  <c r="K7" i="7" s="1"/>
  <c r="L7" i="7" s="1"/>
  <c r="A7" i="7" s="1"/>
  <c r="J4" i="7"/>
  <c r="K4" i="7" s="1"/>
  <c r="L4" i="7" s="1"/>
  <c r="A4" i="7" s="1"/>
  <c r="J6" i="7"/>
  <c r="K6" i="7" s="1"/>
  <c r="L6" i="7" s="1"/>
  <c r="A6" i="7" s="1"/>
  <c r="J5" i="7"/>
  <c r="K5" i="7" s="1"/>
  <c r="L5" i="7" s="1"/>
  <c r="A5" i="7" s="1"/>
  <c r="K22" i="7"/>
  <c r="L22" i="7" s="1"/>
  <c r="A22" i="7" s="1"/>
</calcChain>
</file>

<file path=xl/sharedStrings.xml><?xml version="1.0" encoding="utf-8"?>
<sst xmlns="http://schemas.openxmlformats.org/spreadsheetml/2006/main" count="172" uniqueCount="97">
  <si>
    <t>Отчетная дата</t>
  </si>
  <si>
    <t>Продукт</t>
  </si>
  <si>
    <t>Экспозиция, млрд руб.</t>
  </si>
  <si>
    <t>Резерв ECL, млрд руб.</t>
  </si>
  <si>
    <t>Переоценка ECL, млрд руб.</t>
  </si>
  <si>
    <t>Уровень ECL, %</t>
  </si>
  <si>
    <t>Стоимость кредитного риска, %</t>
  </si>
  <si>
    <t>Ставка по продукту, %</t>
  </si>
  <si>
    <t>Стоимость фондирования, %</t>
  </si>
  <si>
    <t>Report date</t>
  </si>
  <si>
    <t>Product</t>
  </si>
  <si>
    <t>Exposure, RUB bn</t>
  </si>
  <si>
    <t>ECL reserve, RUB bn</t>
  </si>
  <si>
    <t>ECL remeasurement, RUB bn</t>
  </si>
  <si>
    <t>ECL rate, %</t>
  </si>
  <si>
    <t>Credit cost, %</t>
  </si>
  <si>
    <t>Product rate, %</t>
  </si>
  <si>
    <t>Funding rate, %</t>
  </si>
  <si>
    <t>report_date</t>
  </si>
  <si>
    <t>product</t>
  </si>
  <si>
    <t>exposure</t>
  </si>
  <si>
    <t>ecl_reserve</t>
  </si>
  <si>
    <t>ecl_remeasurement</t>
  </si>
  <si>
    <t>ecl_rate</t>
  </si>
  <si>
    <t>credit_cost</t>
  </si>
  <si>
    <t>product_rate</t>
  </si>
  <si>
    <t>funding_rate</t>
  </si>
  <si>
    <t>31.12.2023</t>
  </si>
  <si>
    <t>Mortgage</t>
  </si>
  <si>
    <t>Consumer</t>
  </si>
  <si>
    <t>Auto</t>
  </si>
  <si>
    <t>Cards</t>
  </si>
  <si>
    <t>30.06.2024</t>
  </si>
  <si>
    <t>31.12.2024</t>
  </si>
  <si>
    <t>30.06.2025</t>
  </si>
  <si>
    <t>31.12.2025</t>
  </si>
  <si>
    <t>30.06.2026</t>
  </si>
  <si>
    <t>Документ</t>
  </si>
  <si>
    <t>Источник</t>
  </si>
  <si>
    <t>ВТБ — МСФО 2024</t>
  </si>
  <si>
    <t>https://www.vtb.ru/media-files/vtb.ru/sitepages/ir/statements/results/ifrs_2024_rus.pdf</t>
  </si>
  <si>
    <t>ВТБ — МСФО 6М2025</t>
  </si>
  <si>
    <t>https://www.vtb.ru/media-files/vtb.ru/sitepages/ir/statements/results/rus-vtb-group-ifrs-as-of-30-june-2025.pdf</t>
  </si>
  <si>
    <t>ВТБ — МСФО 2025</t>
  </si>
  <si>
    <t>https://www.vtb.ru/media-files/vtb.ru/sitepages/ir/statements/results/rus-vtb-group-ifrs-as-of-31-december-2025.pdf</t>
  </si>
  <si>
    <t>ВТБ — МСФО 6М2026</t>
  </si>
  <si>
    <t>https://www.vtb.ru/media-files/vtb.ru/sitepages/ir/statements/results/rus-vtb-group-ifrs-as-of-30-june-2026.pdf</t>
  </si>
  <si>
    <t>Официальный архив:</t>
  </si>
  <si>
    <t>https://www.vtb.ru/ir/statements/results/</t>
  </si>
  <si>
    <t>Процентные ставки по кредитам</t>
  </si>
  <si>
    <t>https://www.cbr.ru/statistics/bank_sector/int_rat/0626/</t>
  </si>
  <si>
    <t>ВТБ — динамика NIM 3К2025</t>
  </si>
  <si>
    <t>https://vtbrussia.ru/media-files/vtb.ru/sitepages/ir/statements/results/call_transcript_0925_rus.pdf</t>
  </si>
  <si>
    <t>ВТБ — годовой отчет 2025</t>
  </si>
  <si>
    <t>https://arvtb2025.ru/</t>
  </si>
  <si>
    <t>ВТБ — результаты 6М2024 (NIM 2,1%)</t>
  </si>
  <si>
    <t>ВТБ — результаты 9М2024 (Q3 NIM 1,8%)</t>
  </si>
  <si>
    <t>ВТБ — результаты 2024 (Q4 NIM 0,8%)</t>
  </si>
  <si>
    <t>ВТБ — результаты 2023 (Q3 NIM 3,1%; Q4 NIM 2,9%)</t>
  </si>
  <si>
    <t>ВТБ — результаты 6М2025 (NIM 0,9%)</t>
  </si>
  <si>
    <t>ВТБ — результаты 2025 (Q4 NIM 2,0%)</t>
  </si>
  <si>
    <t>ВТБ — результаты 6М2026 (NIM 2,6%)</t>
  </si>
  <si>
    <t>Банк России — процентные ставки</t>
  </si>
  <si>
    <t>https://www.cbr.ru/statistics/bank_sector/int_rat/</t>
  </si>
  <si>
    <t>Риск-скорректированный результат, млрд руб.</t>
  </si>
  <si>
    <t>Период</t>
  </si>
  <si>
    <t>Рыночный pricing proxy, %</t>
  </si>
  <si>
    <t>Якорь средней маржи, %</t>
  </si>
  <si>
    <t>Коэффициент передачи λ</t>
  </si>
  <si>
    <t>Средневзвешенный pricing proxy, %</t>
  </si>
  <si>
    <t>Синтетическая маржа до кредитного риска, %</t>
  </si>
  <si>
    <t>Риск-скорректированная ставка, %</t>
  </si>
  <si>
    <t>Коэффициент периода</t>
  </si>
  <si>
    <t>Risk-adjusted result, RUB bn</t>
  </si>
  <si>
    <t>Period</t>
  </si>
  <si>
    <t>Market pricing proxy, %</t>
  </si>
  <si>
    <t>Average margin anchor, %</t>
  </si>
  <si>
    <t>Pass-through coefficient λ</t>
  </si>
  <si>
    <t>Weighted pricing proxy, %</t>
  </si>
  <si>
    <t>Synthetic pre-credit margin, %</t>
  </si>
  <si>
    <t>Risk-adjusted rate, %</t>
  </si>
  <si>
    <t>Period factor</t>
  </si>
  <si>
    <t>risk_adjusted_result</t>
  </si>
  <si>
    <t>period</t>
  </si>
  <si>
    <t>product_rate_proxy</t>
  </si>
  <si>
    <t>margin_anchor</t>
  </si>
  <si>
    <t>lambda</t>
  </si>
  <si>
    <t>weighted_product_rate</t>
  </si>
  <si>
    <t>synthetic_margin</t>
  </si>
  <si>
    <t>risk_adjusted_rate</t>
  </si>
  <si>
    <t>period_factor</t>
  </si>
  <si>
    <t>2023H2</t>
  </si>
  <si>
    <t>2024H1</t>
  </si>
  <si>
    <t>2024H2</t>
  </si>
  <si>
    <t>2025H1</t>
  </si>
  <si>
    <t>2025H2</t>
  </si>
  <si>
    <t>2026H1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</si>
</sst>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[Red]#,##0.0"/>
    <numFmt numFmtId="165" formatCode="0.00%;[Red]\(0.00%\);\-"/>
    <numFmt numFmtId="167" formatCode="#,##0.00;[Red]\(#,##0.00\);\-"/>
  </numFmts>
  <fonts count="9">
    <font>
      <sz val="11"/>
      <name val="Carlito"/>
    </font>
    <font>
      <sz val="10"/>
      <color rgb="FF000000"/>
      <name val="Carlito"/>
    </font>
    <font>
      <b/>
      <sz val="10"/>
      <color rgb="FF000000"/>
      <name val="Carlito"/>
    </font>
    <font>
      <i/>
      <sz val="9"/>
      <color rgb="FF000000"/>
      <name val="Carlito"/>
    </font>
    <font>
      <sz val="11"/>
      <name val="Carlito"/>
    </font>
    <font>
      <b/>
      <sz val="11"/>
      <name val="Carlito"/>
    </font>
    <font>
      <sz val="11"/>
      <color rgb="FF0000FF"/>
      <name val="Carlito"/>
    </font>
    <font>
      <sz val="11"/>
      <color rgb="FF008000"/>
      <name val="Carlito"/>
    </font>
    <font>
      <sz val="11"/>
      <color rgb="FF000000"/>
      <name val="Carlito"/>
    </font>
  </fonts>
  <fills count="10">
    <fill>
      <patternFill patternType="none"/>
    </fill>
    <fill>
      <patternFill patternType="gray125"/>
    </fill>
    <fill>
      <patternFill patternType="solid">
        <fgColor theme="3" tint="0.4999542222357860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rgb="FF92D050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5">
    <xf numFmtId="0" fontId="0" fillId="0" borderId="0"/>
    <xf numFmtId="0" fontId="4" fillId="0" borderId="0"/>
    <xf numFmtId="0" fontId="4" fillId="0" borderId="2"/>
    <xf numFmtId="0" fontId="4" fillId="0" borderId="2"/>
    <xf numFmtId="0" fontId="4" fillId="0" borderId="2"/>
  </cellStyleXfs>
  <cellXfs count="28">
    <xf numFmtId="0" fontId="0" fillId="0" borderId="0" xfId="0"/>
    <xf numFmtId="0" fontId="2" fillId="0" borderId="0" xfId="1" applyFont="1" applyAlignment="1">
      <alignment vertical="top" wrapText="1"/>
    </xf>
    <xf numFmtId="0" fontId="1" fillId="0" borderId="0" xfId="1" applyFont="1" applyAlignment="1">
      <alignment vertical="top" wrapText="1"/>
    </xf>
    <xf numFmtId="0" fontId="3" fillId="0" borderId="1" xfId="1" applyFont="1" applyBorder="1" applyAlignment="1">
      <alignment vertical="top" wrapText="1"/>
    </xf>
    <xf numFmtId="0" fontId="2" fillId="2" borderId="0" xfId="1" applyFont="1" applyFill="1" applyAlignment="1">
      <alignment vertical="top" wrapText="1"/>
    </xf>
    <xf numFmtId="0" fontId="2" fillId="3" borderId="0" xfId="1" applyFont="1" applyFill="1" applyAlignment="1">
      <alignment vertical="top" wrapText="1"/>
    </xf>
    <xf numFmtId="0" fontId="2" fillId="4" borderId="0" xfId="1" applyFont="1" applyFill="1" applyAlignment="1">
      <alignment vertical="top" wrapText="1"/>
    </xf>
    <xf numFmtId="0" fontId="2" fillId="5" borderId="0" xfId="1" applyFont="1" applyFill="1" applyAlignment="1">
      <alignment vertical="top" wrapText="1"/>
    </xf>
    <xf numFmtId="164" fontId="1" fillId="6" borderId="0" xfId="1" applyNumberFormat="1" applyFont="1" applyFill="1" applyAlignment="1">
      <alignment vertical="top" wrapText="1"/>
    </xf>
    <xf numFmtId="164" fontId="0" fillId="0" borderId="0" xfId="0" applyNumberFormat="1"/>
    <xf numFmtId="0" fontId="5" fillId="0" borderId="0" xfId="0" applyFont="1" applyAlignment="1">
      <alignment horizontal="center" vertical="center" wrapText="1"/>
    </xf>
    <xf numFmtId="14" fontId="1" fillId="0" borderId="0" xfId="1" applyNumberFormat="1" applyFont="1" applyAlignment="1">
      <alignment vertical="top" wrapText="1"/>
    </xf>
    <xf numFmtId="0" fontId="5" fillId="0" borderId="0" xfId="0" applyFont="1"/>
    <xf numFmtId="0" fontId="0" fillId="0" borderId="2" xfId="0" applyBorder="1"/>
    <xf numFmtId="10" fontId="1" fillId="2" borderId="0" xfId="1" applyNumberFormat="1" applyFont="1" applyFill="1" applyAlignment="1">
      <alignment vertical="top" wrapText="1"/>
    </xf>
    <xf numFmtId="10" fontId="1" fillId="0" borderId="0" xfId="1" applyNumberFormat="1" applyFont="1" applyAlignment="1">
      <alignment vertical="top" wrapText="1"/>
    </xf>
    <xf numFmtId="0" fontId="0" fillId="0" borderId="0" xfId="0" applyAlignment="1">
      <alignment vertical="center"/>
    </xf>
    <xf numFmtId="165" fontId="8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65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0" fillId="0" borderId="0" xfId="0" applyAlignment="1">
      <alignment wrapText="1"/>
    </xf>
    <xf numFmtId="167" fontId="7" fillId="0" borderId="0" xfId="0" applyNumberFormat="1" applyFont="1" applyAlignment="1">
      <alignment vertical="center"/>
    </xf>
    <xf numFmtId="167" fontId="8" fillId="0" borderId="0" xfId="0" applyNumberFormat="1" applyFont="1" applyAlignment="1">
      <alignment vertical="center"/>
    </xf>
    <xf numFmtId="0" fontId="5" fillId="7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5" fillId="9" borderId="0" xfId="0" applyFont="1" applyFill="1" applyAlignment="1">
      <alignment vertical="center" wrapText="1"/>
    </xf>
  </cellXfs>
  <cellStyles count="5">
    <cellStyle name="Normal" xfId="1" xr:uid="{00000000-0005-0000-0000-000000000000}"/>
    <cellStyle name="Normal 2" xfId="3" xr:uid="{00000000-0005-0000-0000-000001000000}"/>
    <cellStyle name="Обычный" xfId="0" builtinId="0"/>
    <cellStyle name="Обычный 2" xfId="2" xr:uid="{00000000-0005-0000-0000-000003000000}"/>
    <cellStyle name="Обычный 3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workbookViewId="0"/>
  </sheetViews>
  <sheetFormatPr defaultRowHeight="13.8"/>
  <cols>
    <col min="1" max="1" width="12.796875" customWidth="1"/>
    <col min="2" max="2" width="9" customWidth="1"/>
    <col min="3" max="3" width="16.59765625" customWidth="1"/>
    <col min="4" max="4" width="16.69921875" customWidth="1"/>
    <col min="5" max="5" width="17.59765625" customWidth="1"/>
    <col min="6" max="6" width="14.3984375" customWidth="1"/>
    <col min="7" max="7" width="18.59765625" customWidth="1"/>
    <col min="8" max="9" width="18.296875" customWidth="1"/>
  </cols>
  <sheetData>
    <row r="1" spans="1:9" ht="26.4">
      <c r="A1" s="1" t="s">
        <v>0</v>
      </c>
      <c r="B1" s="1" t="s">
        <v>1</v>
      </c>
      <c r="C1" s="7" t="s">
        <v>2</v>
      </c>
      <c r="D1" s="6" t="s">
        <v>3</v>
      </c>
      <c r="E1" s="6" t="s">
        <v>4</v>
      </c>
      <c r="F1" s="4" t="s">
        <v>5</v>
      </c>
      <c r="G1" s="4" t="s">
        <v>6</v>
      </c>
      <c r="H1" s="5" t="s">
        <v>7</v>
      </c>
      <c r="I1" s="5" t="s">
        <v>8</v>
      </c>
    </row>
    <row r="2" spans="1:9" ht="26.4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9.15" customHeigh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</row>
    <row r="4" spans="1:9" ht="11.55" customHeight="1">
      <c r="A4" s="11" t="s">
        <v>27</v>
      </c>
      <c r="B4" s="2" t="s">
        <v>28</v>
      </c>
      <c r="C4" s="8">
        <v>3837.6</v>
      </c>
      <c r="D4" s="8">
        <v>36.9</v>
      </c>
      <c r="E4" s="8">
        <v>5.45</v>
      </c>
      <c r="F4" s="14">
        <v>9.6153846153846159E-3</v>
      </c>
      <c r="G4" s="14">
        <v>2.8780207666360825E-3</v>
      </c>
      <c r="H4" s="15">
        <v>7.9100000000000004E-2</v>
      </c>
      <c r="I4" s="15">
        <v>0.11899999999999999</v>
      </c>
    </row>
    <row r="5" spans="1:9" ht="11.55" customHeight="1">
      <c r="A5" s="11" t="s">
        <v>27</v>
      </c>
      <c r="B5" s="2" t="s">
        <v>29</v>
      </c>
      <c r="C5" s="8">
        <v>1982.1</v>
      </c>
      <c r="D5" s="8">
        <v>283.7</v>
      </c>
      <c r="E5" s="8">
        <v>11.55</v>
      </c>
      <c r="F5" s="14">
        <v>0.14313102265274205</v>
      </c>
      <c r="G5" s="14">
        <v>1.1809011599336297E-2</v>
      </c>
      <c r="H5" s="15">
        <v>0.13619999999999999</v>
      </c>
      <c r="I5" s="15">
        <v>0.11899999999999999</v>
      </c>
    </row>
    <row r="6" spans="1:9" ht="11.55" customHeight="1">
      <c r="A6" s="11" t="s">
        <v>27</v>
      </c>
      <c r="B6" s="2" t="s">
        <v>30</v>
      </c>
      <c r="C6" s="8">
        <v>411.5</v>
      </c>
      <c r="D6" s="8">
        <v>17.899999999999999</v>
      </c>
      <c r="E6" s="8">
        <v>2.2999999999999998</v>
      </c>
      <c r="F6" s="14">
        <v>4.3499392466585657E-2</v>
      </c>
      <c r="G6" s="14">
        <v>1.1327005801686845E-2</v>
      </c>
      <c r="H6" s="15">
        <v>0.17810000000000001</v>
      </c>
      <c r="I6" s="15">
        <v>0.11899999999999999</v>
      </c>
    </row>
    <row r="7" spans="1:9" ht="11.55" customHeight="1">
      <c r="A7" s="11" t="s">
        <v>27</v>
      </c>
      <c r="B7" s="2" t="s">
        <v>31</v>
      </c>
      <c r="C7" s="8">
        <v>232</v>
      </c>
      <c r="D7" s="8">
        <v>40.1</v>
      </c>
      <c r="E7" s="8">
        <v>2</v>
      </c>
      <c r="F7" s="14">
        <v>0.1728448275862069</v>
      </c>
      <c r="G7" s="14">
        <v>1.7470250702376823E-2</v>
      </c>
      <c r="H7" s="15">
        <v>0.21029999999999999</v>
      </c>
      <c r="I7" s="15">
        <v>0.1278</v>
      </c>
    </row>
    <row r="8" spans="1:9">
      <c r="A8" s="11" t="s">
        <v>32</v>
      </c>
      <c r="B8" s="2" t="s">
        <v>28</v>
      </c>
      <c r="C8" s="8">
        <v>3938.1499999999996</v>
      </c>
      <c r="D8" s="8">
        <v>39.4</v>
      </c>
      <c r="E8" s="8">
        <v>5.4</v>
      </c>
      <c r="F8" s="14">
        <v>1.0004697637215444E-2</v>
      </c>
      <c r="G8" s="14">
        <v>2.7778670867761954E-3</v>
      </c>
      <c r="H8" s="15">
        <v>7.5999999999999998E-2</v>
      </c>
      <c r="I8" s="15">
        <v>0.13400000000000001</v>
      </c>
    </row>
    <row r="9" spans="1:9">
      <c r="A9" s="11" t="s">
        <v>32</v>
      </c>
      <c r="B9" s="2" t="s">
        <v>29</v>
      </c>
      <c r="C9" s="8">
        <v>2058.1999999999998</v>
      </c>
      <c r="D9" s="8">
        <v>291.7</v>
      </c>
      <c r="E9" s="8">
        <v>22.8</v>
      </c>
      <c r="F9" s="14">
        <v>0.14172577980759887</v>
      </c>
      <c r="G9" s="14">
        <v>2.2572581243967035E-2</v>
      </c>
      <c r="H9" s="15">
        <v>0.154</v>
      </c>
      <c r="I9" s="15">
        <v>0.13400000000000001</v>
      </c>
    </row>
    <row r="10" spans="1:9">
      <c r="A10" s="11" t="s">
        <v>32</v>
      </c>
      <c r="B10" s="2" t="s">
        <v>30</v>
      </c>
      <c r="C10" s="8">
        <v>532.04999999999995</v>
      </c>
      <c r="D10" s="8">
        <v>27.1</v>
      </c>
      <c r="E10" s="8">
        <v>9.3000000000000007</v>
      </c>
      <c r="F10" s="14">
        <v>5.09350624941265E-2</v>
      </c>
      <c r="G10" s="14">
        <v>3.9425573631498068E-2</v>
      </c>
      <c r="H10" s="15">
        <v>0.17899999999999999</v>
      </c>
      <c r="I10" s="15">
        <v>0.13400000000000001</v>
      </c>
    </row>
    <row r="11" spans="1:9">
      <c r="A11" s="11" t="s">
        <v>32</v>
      </c>
      <c r="B11" s="2" t="s">
        <v>31</v>
      </c>
      <c r="C11" s="8">
        <v>261.10000000000002</v>
      </c>
      <c r="D11" s="8">
        <v>45.2</v>
      </c>
      <c r="E11" s="8">
        <v>6.3</v>
      </c>
      <c r="F11" s="14">
        <v>0.17311374952125622</v>
      </c>
      <c r="G11" s="14">
        <v>5.1105252484283104E-2</v>
      </c>
      <c r="H11" s="15">
        <v>0.25900000000000001</v>
      </c>
      <c r="I11" s="15">
        <v>0.16300000000000001</v>
      </c>
    </row>
    <row r="12" spans="1:9">
      <c r="A12" s="11" t="s">
        <v>33</v>
      </c>
      <c r="B12" s="2" t="s">
        <v>28</v>
      </c>
      <c r="C12" s="8">
        <v>4038.7</v>
      </c>
      <c r="D12" s="8">
        <v>45.5</v>
      </c>
      <c r="E12" s="8">
        <v>7.1999999999999993</v>
      </c>
      <c r="F12" s="14">
        <v>1.1266001436105679E-2</v>
      </c>
      <c r="G12" s="14">
        <v>3.6104477331277383E-3</v>
      </c>
      <c r="H12" s="15">
        <v>8.5000000000000006E-2</v>
      </c>
      <c r="I12" s="15">
        <v>0.20899999999999999</v>
      </c>
    </row>
    <row r="13" spans="1:9">
      <c r="A13" s="11" t="s">
        <v>33</v>
      </c>
      <c r="B13" s="2" t="s">
        <v>29</v>
      </c>
      <c r="C13" s="8">
        <v>2134.3000000000002</v>
      </c>
      <c r="D13" s="8">
        <v>251.6</v>
      </c>
      <c r="E13" s="8">
        <v>11.3</v>
      </c>
      <c r="F13" s="14">
        <v>0.11788408377453966</v>
      </c>
      <c r="G13" s="14">
        <v>1.0781156827668456E-2</v>
      </c>
      <c r="H13" s="15">
        <v>0.192</v>
      </c>
      <c r="I13" s="15">
        <v>0.20899999999999999</v>
      </c>
    </row>
    <row r="14" spans="1:9">
      <c r="A14" s="11" t="s">
        <v>33</v>
      </c>
      <c r="B14" s="2" t="s">
        <v>30</v>
      </c>
      <c r="C14" s="8">
        <v>652.6</v>
      </c>
      <c r="D14" s="8">
        <v>54.4</v>
      </c>
      <c r="E14" s="8">
        <v>27.7</v>
      </c>
      <c r="F14" s="14">
        <v>8.3358872203493709E-2</v>
      </c>
      <c r="G14" s="14">
        <v>9.352973452074452E-2</v>
      </c>
      <c r="H14" s="15">
        <v>0.223</v>
      </c>
      <c r="I14" s="15">
        <v>0.20899999999999999</v>
      </c>
    </row>
    <row r="15" spans="1:9">
      <c r="A15" s="11" t="s">
        <v>33</v>
      </c>
      <c r="B15" s="2" t="s">
        <v>31</v>
      </c>
      <c r="C15" s="8">
        <v>290.2</v>
      </c>
      <c r="D15" s="8">
        <v>38.799999999999997</v>
      </c>
      <c r="E15" s="8">
        <v>8.6000000000000014</v>
      </c>
      <c r="F15" s="14">
        <v>0.13370089593383871</v>
      </c>
      <c r="G15" s="14">
        <v>6.239796843823691E-2</v>
      </c>
      <c r="H15" s="15">
        <v>0.32700000000000001</v>
      </c>
      <c r="I15" s="15">
        <v>0.214</v>
      </c>
    </row>
    <row r="16" spans="1:9">
      <c r="A16" s="11" t="s">
        <v>34</v>
      </c>
      <c r="B16" s="2" t="s">
        <v>28</v>
      </c>
      <c r="C16" s="8">
        <v>4052.6</v>
      </c>
      <c r="D16" s="8">
        <v>57</v>
      </c>
      <c r="E16" s="8">
        <v>10.8</v>
      </c>
      <c r="F16" s="14">
        <v>1.4065044662685683E-2</v>
      </c>
      <c r="G16" s="14">
        <v>5.3390678877312681E-3</v>
      </c>
      <c r="H16" s="15">
        <v>7.4999999999999997E-2</v>
      </c>
      <c r="I16" s="15">
        <v>0.17599999999999999</v>
      </c>
    </row>
    <row r="17" spans="1:9">
      <c r="A17" s="11" t="s">
        <v>34</v>
      </c>
      <c r="B17" s="2" t="s">
        <v>29</v>
      </c>
      <c r="C17" s="8">
        <v>1889.2</v>
      </c>
      <c r="D17" s="8">
        <v>275</v>
      </c>
      <c r="E17" s="8">
        <v>40.200000000000003</v>
      </c>
      <c r="F17" s="14">
        <v>0.14556426000423459</v>
      </c>
      <c r="G17" s="14">
        <v>3.996520442400895E-2</v>
      </c>
      <c r="H17" s="15">
        <v>0.187</v>
      </c>
      <c r="I17" s="15">
        <v>0.17599999999999999</v>
      </c>
    </row>
    <row r="18" spans="1:9">
      <c r="A18" s="11" t="s">
        <v>34</v>
      </c>
      <c r="B18" s="2" t="s">
        <v>30</v>
      </c>
      <c r="C18" s="8">
        <v>614.1</v>
      </c>
      <c r="D18" s="8">
        <v>80.3</v>
      </c>
      <c r="E18" s="8">
        <v>26.3</v>
      </c>
      <c r="F18" s="14">
        <v>0.13076046246539649</v>
      </c>
      <c r="G18" s="14">
        <v>8.3050446040893663E-2</v>
      </c>
      <c r="H18" s="15">
        <v>0.17399999999999999</v>
      </c>
      <c r="I18" s="15">
        <v>0.17599999999999999</v>
      </c>
    </row>
    <row r="19" spans="1:9">
      <c r="A19" s="11" t="s">
        <v>34</v>
      </c>
      <c r="B19" s="2" t="s">
        <v>31</v>
      </c>
      <c r="C19" s="8">
        <v>276.8</v>
      </c>
      <c r="D19" s="8">
        <v>46.2</v>
      </c>
      <c r="E19" s="8">
        <v>9.6</v>
      </c>
      <c r="F19" s="14">
        <v>0.16690751445086704</v>
      </c>
      <c r="G19" s="14">
        <v>6.7724867724867716E-2</v>
      </c>
      <c r="H19" s="15">
        <v>0.27800000000000002</v>
      </c>
      <c r="I19" s="15">
        <v>0.186</v>
      </c>
    </row>
    <row r="20" spans="1:9">
      <c r="A20" s="11" t="s">
        <v>35</v>
      </c>
      <c r="B20" s="2" t="s">
        <v>28</v>
      </c>
      <c r="C20" s="8">
        <v>4364.8</v>
      </c>
      <c r="D20" s="8">
        <v>73.5</v>
      </c>
      <c r="E20" s="8">
        <v>15.8</v>
      </c>
      <c r="F20" s="14">
        <v>1.6839259530791788E-2</v>
      </c>
      <c r="G20" s="14">
        <v>7.5082567063463786E-3</v>
      </c>
      <c r="H20" s="15">
        <v>7.5999999999999998E-2</v>
      </c>
      <c r="I20" s="15">
        <v>0.122</v>
      </c>
    </row>
    <row r="21" spans="1:9">
      <c r="A21" s="11" t="s">
        <v>35</v>
      </c>
      <c r="B21" s="2" t="s">
        <v>29</v>
      </c>
      <c r="C21" s="8">
        <v>1644.8</v>
      </c>
      <c r="D21" s="8">
        <v>255.6</v>
      </c>
      <c r="E21" s="8">
        <v>19.599999999999994</v>
      </c>
      <c r="F21" s="14">
        <v>0.15539883268482491</v>
      </c>
      <c r="G21" s="14">
        <v>2.2184493491793994E-2</v>
      </c>
      <c r="H21" s="15">
        <v>0.14399999999999999</v>
      </c>
      <c r="I21" s="15">
        <v>0.122</v>
      </c>
    </row>
    <row r="22" spans="1:9">
      <c r="A22" s="11" t="s">
        <v>35</v>
      </c>
      <c r="B22" s="2" t="s">
        <v>30</v>
      </c>
      <c r="C22" s="8">
        <v>560.70000000000005</v>
      </c>
      <c r="D22" s="8">
        <v>91</v>
      </c>
      <c r="E22" s="8">
        <v>17.599999999999998</v>
      </c>
      <c r="F22" s="14">
        <v>0.1622971285892634</v>
      </c>
      <c r="G22" s="14">
        <v>5.9925093632958788E-2</v>
      </c>
      <c r="H22" s="15">
        <v>0.16900000000000001</v>
      </c>
      <c r="I22" s="15">
        <v>0.122</v>
      </c>
    </row>
    <row r="23" spans="1:9">
      <c r="A23" s="11" t="s">
        <v>35</v>
      </c>
      <c r="B23" s="2" t="s">
        <v>31</v>
      </c>
      <c r="C23" s="8">
        <v>248.9</v>
      </c>
      <c r="D23" s="8">
        <v>46.1</v>
      </c>
      <c r="E23" s="8">
        <v>7.0000000000000018</v>
      </c>
      <c r="F23" s="14">
        <v>0.18521494576134995</v>
      </c>
      <c r="G23" s="14">
        <v>5.3262316910785631E-2</v>
      </c>
      <c r="H23" s="15">
        <v>0.27100000000000002</v>
      </c>
      <c r="I23" s="15">
        <v>0.153</v>
      </c>
    </row>
    <row r="24" spans="1:9" ht="11.55" customHeight="1">
      <c r="A24" s="11" t="s">
        <v>36</v>
      </c>
      <c r="B24" s="2" t="s">
        <v>28</v>
      </c>
      <c r="C24" s="8">
        <v>4279.8</v>
      </c>
      <c r="D24" s="8">
        <v>89.4</v>
      </c>
      <c r="E24" s="8">
        <v>14.7</v>
      </c>
      <c r="F24" s="14">
        <v>2.0888826580681339E-2</v>
      </c>
      <c r="G24" s="14">
        <v>6.8019341554265084E-3</v>
      </c>
      <c r="H24" s="15">
        <v>0.09</v>
      </c>
      <c r="I24" s="15">
        <v>0.109</v>
      </c>
    </row>
    <row r="25" spans="1:9">
      <c r="A25" s="11" t="s">
        <v>36</v>
      </c>
      <c r="B25" s="2" t="s">
        <v>29</v>
      </c>
      <c r="C25" s="8">
        <v>1525.9</v>
      </c>
      <c r="D25" s="8">
        <v>246.7</v>
      </c>
      <c r="E25" s="8">
        <v>33.700000000000003</v>
      </c>
      <c r="F25" s="14">
        <v>0.16167507700373548</v>
      </c>
      <c r="G25" s="14">
        <v>4.2514271296559124E-2</v>
      </c>
      <c r="H25" s="15">
        <v>0.17499999999999999</v>
      </c>
      <c r="I25" s="15">
        <v>0.109</v>
      </c>
    </row>
    <row r="26" spans="1:9">
      <c r="A26" s="11" t="s">
        <v>36</v>
      </c>
      <c r="B26" s="2" t="s">
        <v>30</v>
      </c>
      <c r="C26" s="8">
        <v>543.9</v>
      </c>
      <c r="D26" s="8">
        <v>96.9</v>
      </c>
      <c r="E26" s="8">
        <v>12</v>
      </c>
      <c r="F26" s="14">
        <v>0.17815774958632102</v>
      </c>
      <c r="G26" s="14">
        <v>4.3454644215100494E-2</v>
      </c>
      <c r="H26" s="15">
        <v>0.16500000000000001</v>
      </c>
      <c r="I26" s="15">
        <v>0.109</v>
      </c>
    </row>
    <row r="27" spans="1:9">
      <c r="A27" s="11" t="s">
        <v>36</v>
      </c>
      <c r="B27" s="2" t="s">
        <v>31</v>
      </c>
      <c r="C27" s="8">
        <v>223.4</v>
      </c>
      <c r="D27" s="8">
        <v>47</v>
      </c>
      <c r="E27" s="8">
        <v>6.6</v>
      </c>
      <c r="F27" s="14">
        <v>0.21038495971351834</v>
      </c>
      <c r="G27" s="14">
        <v>5.5896675841626081E-2</v>
      </c>
      <c r="H27" s="15">
        <v>0.312</v>
      </c>
      <c r="I27" s="15">
        <v>0.13</v>
      </c>
    </row>
    <row r="33" spans="4:4">
      <c r="D3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3.8"/>
  <cols>
    <col min="1" max="1" width="32.5" customWidth="1"/>
    <col min="2" max="2" width="31.796875" customWidth="1"/>
  </cols>
  <sheetData>
    <row r="1" spans="1:2">
      <c r="A1" s="10" t="s">
        <v>37</v>
      </c>
      <c r="B1" s="10" t="s">
        <v>38</v>
      </c>
    </row>
    <row r="2" spans="1:2">
      <c r="A2" s="12" t="s">
        <v>39</v>
      </c>
      <c r="B2" t="s">
        <v>40</v>
      </c>
    </row>
    <row r="3" spans="1:2">
      <c r="A3" s="12" t="s">
        <v>41</v>
      </c>
      <c r="B3" t="s">
        <v>42</v>
      </c>
    </row>
    <row r="4" spans="1:2">
      <c r="A4" s="12" t="s">
        <v>43</v>
      </c>
      <c r="B4" s="13" t="s">
        <v>44</v>
      </c>
    </row>
    <row r="5" spans="1:2">
      <c r="A5" s="12" t="s">
        <v>45</v>
      </c>
      <c r="B5" t="s">
        <v>46</v>
      </c>
    </row>
    <row r="6" spans="1:2">
      <c r="A6" s="12" t="s">
        <v>47</v>
      </c>
      <c r="B6" s="13" t="s">
        <v>48</v>
      </c>
    </row>
    <row r="7" spans="1:2">
      <c r="A7" s="12" t="s">
        <v>49</v>
      </c>
      <c r="B7" t="s">
        <v>50</v>
      </c>
    </row>
    <row r="8" spans="1:2" ht="41.4">
      <c r="A8" s="22" t="s">
        <v>51</v>
      </c>
      <c r="B8" s="22" t="s">
        <v>52</v>
      </c>
    </row>
    <row r="9" spans="1:2">
      <c r="A9" s="22" t="s">
        <v>53</v>
      </c>
      <c r="B9" s="22" t="s">
        <v>54</v>
      </c>
    </row>
    <row r="10" spans="1:2">
      <c r="A10" t="s">
        <v>55</v>
      </c>
      <c r="B10" t="s">
        <v>48</v>
      </c>
    </row>
    <row r="11" spans="1:2">
      <c r="A11" t="s">
        <v>56</v>
      </c>
      <c r="B11" t="s">
        <v>48</v>
      </c>
    </row>
    <row r="12" spans="1:2">
      <c r="A12" t="s">
        <v>57</v>
      </c>
      <c r="B12" t="s">
        <v>48</v>
      </c>
    </row>
    <row r="13" spans="1:2">
      <c r="A13" t="s">
        <v>58</v>
      </c>
      <c r="B13" t="s">
        <v>48</v>
      </c>
    </row>
    <row r="14" spans="1:2">
      <c r="A14" t="s">
        <v>59</v>
      </c>
      <c r="B14" t="s">
        <v>48</v>
      </c>
    </row>
    <row r="15" spans="1:2">
      <c r="A15" t="s">
        <v>60</v>
      </c>
      <c r="B15" t="s">
        <v>48</v>
      </c>
    </row>
    <row r="16" spans="1:2">
      <c r="A16" t="s">
        <v>61</v>
      </c>
      <c r="B16" t="s">
        <v>48</v>
      </c>
    </row>
    <row r="17" spans="1:2">
      <c r="A17" t="s">
        <v>62</v>
      </c>
      <c r="B1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7"/>
  <sheetViews>
    <sheetView tabSelected="1" workbookViewId="0"/>
  </sheetViews>
  <sheetFormatPr defaultRowHeight="13.8"/>
  <cols>
    <col min="1" max="1" width="19" customWidth="1"/>
    <col min="2" max="2" width="13" customWidth="1"/>
    <col min="3" max="3" width="11" customWidth="1"/>
    <col min="4" max="4" width="13" customWidth="1"/>
    <col min="5" max="5" width="15" customWidth="1"/>
    <col min="6" max="6" width="16" customWidth="1"/>
    <col min="7" max="7" width="17" customWidth="1"/>
    <col min="8" max="8" width="16" customWidth="1"/>
    <col min="9" max="9" width="15" customWidth="1"/>
    <col min="10" max="10" width="18" customWidth="1"/>
    <col min="11" max="11" width="19" customWidth="1"/>
    <col min="12" max="12" width="18" customWidth="1"/>
    <col min="13" max="13" width="12" customWidth="1"/>
  </cols>
  <sheetData>
    <row r="1" spans="1:13" ht="55.2">
      <c r="A1" s="25" t="s">
        <v>64</v>
      </c>
      <c r="B1" s="25" t="s">
        <v>0</v>
      </c>
      <c r="C1" s="25" t="s">
        <v>65</v>
      </c>
      <c r="D1" s="25" t="s">
        <v>1</v>
      </c>
      <c r="E1" s="25" t="s">
        <v>2</v>
      </c>
      <c r="F1" s="25" t="s">
        <v>6</v>
      </c>
      <c r="G1" s="25" t="s">
        <v>66</v>
      </c>
      <c r="H1" s="25" t="s">
        <v>67</v>
      </c>
      <c r="I1" s="25" t="s">
        <v>68</v>
      </c>
      <c r="J1" s="25" t="s">
        <v>69</v>
      </c>
      <c r="K1" s="25" t="s">
        <v>70</v>
      </c>
      <c r="L1" s="25" t="s">
        <v>71</v>
      </c>
      <c r="M1" s="25" t="s">
        <v>72</v>
      </c>
    </row>
    <row r="2" spans="1:13" ht="27.6">
      <c r="A2" s="26" t="s">
        <v>73</v>
      </c>
      <c r="B2" s="26" t="s">
        <v>9</v>
      </c>
      <c r="C2" s="26" t="s">
        <v>74</v>
      </c>
      <c r="D2" s="26" t="s">
        <v>10</v>
      </c>
      <c r="E2" s="26" t="s">
        <v>11</v>
      </c>
      <c r="F2" s="26" t="s">
        <v>15</v>
      </c>
      <c r="G2" s="26" t="s">
        <v>75</v>
      </c>
      <c r="H2" s="26" t="s">
        <v>76</v>
      </c>
      <c r="I2" s="26" t="s">
        <v>77</v>
      </c>
      <c r="J2" s="26" t="s">
        <v>78</v>
      </c>
      <c r="K2" s="26" t="s">
        <v>79</v>
      </c>
      <c r="L2" s="26" t="s">
        <v>80</v>
      </c>
      <c r="M2" s="26" t="s">
        <v>81</v>
      </c>
    </row>
    <row r="3" spans="1:13" ht="27.6">
      <c r="A3" s="27" t="s">
        <v>82</v>
      </c>
      <c r="B3" s="27" t="s">
        <v>18</v>
      </c>
      <c r="C3" s="27" t="s">
        <v>83</v>
      </c>
      <c r="D3" s="27" t="s">
        <v>19</v>
      </c>
      <c r="E3" s="27" t="s">
        <v>20</v>
      </c>
      <c r="F3" s="27" t="s">
        <v>24</v>
      </c>
      <c r="G3" s="27" t="s">
        <v>84</v>
      </c>
      <c r="H3" s="27" t="s">
        <v>85</v>
      </c>
      <c r="I3" s="27" t="s">
        <v>86</v>
      </c>
      <c r="J3" s="27" t="s">
        <v>87</v>
      </c>
      <c r="K3" s="27" t="s">
        <v>88</v>
      </c>
      <c r="L3" s="27" t="s">
        <v>89</v>
      </c>
      <c r="M3" s="27" t="s">
        <v>90</v>
      </c>
    </row>
    <row r="4" spans="1:13">
      <c r="A4" s="24">
        <f t="shared" ref="A4:A27" si="0">E4*L4*M4</f>
        <v>41.095372980977203</v>
      </c>
      <c r="B4" s="19" t="str">
        <f>DATA_MASTER!A4</f>
        <v>31.12.2023</v>
      </c>
      <c r="C4" s="16" t="s">
        <v>91</v>
      </c>
      <c r="D4" s="19" t="str">
        <f>DATA_MASTER!B4</f>
        <v>Mortgage</v>
      </c>
      <c r="E4" s="23">
        <f>DATA_MASTER!C4</f>
        <v>3837.6</v>
      </c>
      <c r="F4" s="18">
        <f>DATA_MASTER!G4</f>
        <v>2.8780207666360825E-3</v>
      </c>
      <c r="G4" s="18">
        <f>DATA_MASTER!H4</f>
        <v>7.9100000000000004E-2</v>
      </c>
      <c r="H4" s="20">
        <v>0.03</v>
      </c>
      <c r="I4" s="21">
        <v>0.2</v>
      </c>
      <c r="J4" s="17">
        <f>SUMPRODUCT($E$4:$E$7,$G$4:$G$7)/SUM($E$4:$E$7)</f>
        <v>0.10762376686471097</v>
      </c>
      <c r="K4" s="17">
        <f t="shared" ref="K4:K27" si="1">H4+I4*(G4-J4)</f>
        <v>2.4295246627057808E-2</v>
      </c>
      <c r="L4" s="17">
        <f t="shared" ref="L4:L27" si="2">K4-F4</f>
        <v>2.1417225860421725E-2</v>
      </c>
      <c r="M4" s="21">
        <v>0.5</v>
      </c>
    </row>
    <row r="5" spans="1:13">
      <c r="A5" s="24">
        <f t="shared" si="0"/>
        <v>23.692274224223397</v>
      </c>
      <c r="B5" s="19" t="str">
        <f>DATA_MASTER!A5</f>
        <v>31.12.2023</v>
      </c>
      <c r="C5" s="16" t="s">
        <v>91</v>
      </c>
      <c r="D5" s="19" t="str">
        <f>DATA_MASTER!B5</f>
        <v>Consumer</v>
      </c>
      <c r="E5" s="23">
        <f>DATA_MASTER!C5</f>
        <v>1982.1</v>
      </c>
      <c r="F5" s="18">
        <f>DATA_MASTER!G5</f>
        <v>1.1809011599336297E-2</v>
      </c>
      <c r="G5" s="18">
        <f>DATA_MASTER!H5</f>
        <v>0.13619999999999999</v>
      </c>
      <c r="H5" s="20">
        <v>0.03</v>
      </c>
      <c r="I5" s="21">
        <v>0.2</v>
      </c>
      <c r="J5" s="17">
        <f>SUMPRODUCT($E$4:$E$7,$G$4:$G$7)/SUM($E$4:$E$7)</f>
        <v>0.10762376686471097</v>
      </c>
      <c r="K5" s="17">
        <f t="shared" si="1"/>
        <v>3.5715246627057801E-2</v>
      </c>
      <c r="L5" s="17">
        <f t="shared" si="2"/>
        <v>2.3906235027721504E-2</v>
      </c>
      <c r="M5" s="21">
        <v>0.5</v>
      </c>
    </row>
    <row r="6" spans="1:13">
      <c r="A6" s="24">
        <f t="shared" si="0"/>
        <v>6.7420655498200759</v>
      </c>
      <c r="B6" s="19" t="str">
        <f>DATA_MASTER!A6</f>
        <v>31.12.2023</v>
      </c>
      <c r="C6" s="16" t="s">
        <v>91</v>
      </c>
      <c r="D6" s="19" t="str">
        <f>DATA_MASTER!B6</f>
        <v>Auto</v>
      </c>
      <c r="E6" s="23">
        <f>DATA_MASTER!C6</f>
        <v>411.5</v>
      </c>
      <c r="F6" s="18">
        <f>DATA_MASTER!G6</f>
        <v>1.1327005801686845E-2</v>
      </c>
      <c r="G6" s="18">
        <f>DATA_MASTER!H6</f>
        <v>0.17810000000000001</v>
      </c>
      <c r="H6" s="20">
        <v>0.03</v>
      </c>
      <c r="I6" s="21">
        <v>0.2</v>
      </c>
      <c r="J6" s="17">
        <f>SUMPRODUCT($E$4:$E$7,$G$4:$G$7)/SUM($E$4:$E$7)</f>
        <v>0.10762376686471097</v>
      </c>
      <c r="K6" s="17">
        <f t="shared" si="1"/>
        <v>4.4095246627057806E-2</v>
      </c>
      <c r="L6" s="17">
        <f t="shared" si="2"/>
        <v>3.2768240825370963E-2</v>
      </c>
      <c r="M6" s="21">
        <v>0.5</v>
      </c>
    </row>
    <row r="7" spans="1:13">
      <c r="A7" s="24">
        <f t="shared" si="0"/>
        <v>3.8355395272629935</v>
      </c>
      <c r="B7" s="19" t="str">
        <f>DATA_MASTER!A7</f>
        <v>31.12.2023</v>
      </c>
      <c r="C7" s="16" t="s">
        <v>91</v>
      </c>
      <c r="D7" s="19" t="str">
        <f>DATA_MASTER!B7</f>
        <v>Cards</v>
      </c>
      <c r="E7" s="23">
        <f>DATA_MASTER!C7</f>
        <v>232</v>
      </c>
      <c r="F7" s="18">
        <f>DATA_MASTER!G7</f>
        <v>1.7470250702376823E-2</v>
      </c>
      <c r="G7" s="18">
        <f>DATA_MASTER!H7</f>
        <v>0.21029999999999999</v>
      </c>
      <c r="H7" s="20">
        <v>0.03</v>
      </c>
      <c r="I7" s="21">
        <v>0.2</v>
      </c>
      <c r="J7" s="17">
        <f>SUMPRODUCT($E$4:$E$7,$G$4:$G$7)/SUM($E$4:$E$7)</f>
        <v>0.10762376686471097</v>
      </c>
      <c r="K7" s="17">
        <f t="shared" si="1"/>
        <v>5.05352466270578E-2</v>
      </c>
      <c r="L7" s="17">
        <f t="shared" si="2"/>
        <v>3.3064995924680977E-2</v>
      </c>
      <c r="M7" s="21">
        <v>0.5</v>
      </c>
    </row>
    <row r="8" spans="1:13">
      <c r="A8" s="24">
        <f t="shared" si="0"/>
        <v>20.618737363860053</v>
      </c>
      <c r="B8" s="19" t="str">
        <f>DATA_MASTER!A8</f>
        <v>30.06.2024</v>
      </c>
      <c r="C8" s="16" t="s">
        <v>92</v>
      </c>
      <c r="D8" s="19" t="str">
        <f>DATA_MASTER!B8</f>
        <v>Mortgage</v>
      </c>
      <c r="E8" s="23">
        <f>DATA_MASTER!C8</f>
        <v>3938.1499999999996</v>
      </c>
      <c r="F8" s="18">
        <f>DATA_MASTER!G8</f>
        <v>2.7778670867761954E-3</v>
      </c>
      <c r="G8" s="18">
        <f>DATA_MASTER!H8</f>
        <v>7.5999999999999998E-2</v>
      </c>
      <c r="H8" s="20">
        <v>2.1000000000000001E-2</v>
      </c>
      <c r="I8" s="21">
        <v>0.2</v>
      </c>
      <c r="J8" s="17">
        <f>SUMPRODUCT($E$8:$E$11,$G$8:$G$11)/SUM($E$8:$E$11)</f>
        <v>0.1147542602548052</v>
      </c>
      <c r="K8" s="17">
        <f t="shared" si="1"/>
        <v>1.3249147949038961E-2</v>
      </c>
      <c r="L8" s="17">
        <f t="shared" si="2"/>
        <v>1.0471280862262766E-2</v>
      </c>
      <c r="M8" s="21">
        <v>0.5</v>
      </c>
    </row>
    <row r="9" spans="1:13">
      <c r="A9" s="24">
        <f t="shared" si="0"/>
        <v>6.4592147961895181</v>
      </c>
      <c r="B9" s="19" t="str">
        <f>DATA_MASTER!A9</f>
        <v>30.06.2024</v>
      </c>
      <c r="C9" s="16" t="s">
        <v>92</v>
      </c>
      <c r="D9" s="19" t="str">
        <f>DATA_MASTER!B9</f>
        <v>Consumer</v>
      </c>
      <c r="E9" s="23">
        <f>DATA_MASTER!C9</f>
        <v>2058.1999999999998</v>
      </c>
      <c r="F9" s="18">
        <f>DATA_MASTER!G9</f>
        <v>2.2572581243967035E-2</v>
      </c>
      <c r="G9" s="18">
        <f>DATA_MASTER!H9</f>
        <v>0.154</v>
      </c>
      <c r="H9" s="20">
        <v>2.1000000000000001E-2</v>
      </c>
      <c r="I9" s="21">
        <v>0.2</v>
      </c>
      <c r="J9" s="17">
        <f>SUMPRODUCT($E$8:$E$11,$G$8:$G$11)/SUM($E$8:$E$11)</f>
        <v>0.1147542602548052</v>
      </c>
      <c r="K9" s="17">
        <f t="shared" si="1"/>
        <v>2.8849147949038961E-2</v>
      </c>
      <c r="L9" s="17">
        <f t="shared" si="2"/>
        <v>6.2765667050719252E-3</v>
      </c>
      <c r="M9" s="21">
        <v>0.5</v>
      </c>
    </row>
    <row r="10" spans="1:13">
      <c r="A10" s="24">
        <f t="shared" si="0"/>
        <v>-1.4834686421761836</v>
      </c>
      <c r="B10" s="19" t="str">
        <f>DATA_MASTER!A10</f>
        <v>30.06.2024</v>
      </c>
      <c r="C10" s="16" t="s">
        <v>92</v>
      </c>
      <c r="D10" s="19" t="str">
        <f>DATA_MASTER!B10</f>
        <v>Auto</v>
      </c>
      <c r="E10" s="23">
        <f>DATA_MASTER!C10</f>
        <v>532.04999999999995</v>
      </c>
      <c r="F10" s="18">
        <f>DATA_MASTER!G10</f>
        <v>3.9425573631498068E-2</v>
      </c>
      <c r="G10" s="18">
        <f>DATA_MASTER!H10</f>
        <v>0.17899999999999999</v>
      </c>
      <c r="H10" s="20">
        <v>2.1000000000000001E-2</v>
      </c>
      <c r="I10" s="21">
        <v>0.2</v>
      </c>
      <c r="J10" s="17">
        <f>SUMPRODUCT($E$8:$E$11,$G$8:$G$11)/SUM($E$8:$E$11)</f>
        <v>0.1147542602548052</v>
      </c>
      <c r="K10" s="17">
        <f t="shared" si="1"/>
        <v>3.3849147949038962E-2</v>
      </c>
      <c r="L10" s="17">
        <f t="shared" si="2"/>
        <v>-5.576425682459106E-3</v>
      </c>
      <c r="M10" s="21">
        <v>0.5</v>
      </c>
    </row>
    <row r="11" spans="1:13">
      <c r="A11" s="24">
        <f t="shared" si="0"/>
        <v>-0.16398444707612181</v>
      </c>
      <c r="B11" s="19" t="str">
        <f>DATA_MASTER!A11</f>
        <v>30.06.2024</v>
      </c>
      <c r="C11" s="16" t="s">
        <v>92</v>
      </c>
      <c r="D11" s="19" t="str">
        <f>DATA_MASTER!B11</f>
        <v>Cards</v>
      </c>
      <c r="E11" s="23">
        <f>DATA_MASTER!C11</f>
        <v>261.10000000000002</v>
      </c>
      <c r="F11" s="18">
        <f>DATA_MASTER!G11</f>
        <v>5.1105252484283104E-2</v>
      </c>
      <c r="G11" s="18">
        <f>DATA_MASTER!H11</f>
        <v>0.25900000000000001</v>
      </c>
      <c r="H11" s="20">
        <v>2.1000000000000001E-2</v>
      </c>
      <c r="I11" s="21">
        <v>0.2</v>
      </c>
      <c r="J11" s="17">
        <f>SUMPRODUCT($E$8:$E$11,$G$8:$G$11)/SUM($E$8:$E$11)</f>
        <v>0.1147542602548052</v>
      </c>
      <c r="K11" s="17">
        <f t="shared" si="1"/>
        <v>4.9849147949038969E-2</v>
      </c>
      <c r="L11" s="17">
        <f t="shared" si="2"/>
        <v>-1.2561045352441347E-3</v>
      </c>
      <c r="M11" s="21">
        <v>0.5</v>
      </c>
    </row>
    <row r="12" spans="1:13">
      <c r="A12" s="24">
        <f t="shared" si="0"/>
        <v>-3.0981502295991916</v>
      </c>
      <c r="B12" s="19" t="str">
        <f>DATA_MASTER!A12</f>
        <v>31.12.2024</v>
      </c>
      <c r="C12" s="16" t="s">
        <v>93</v>
      </c>
      <c r="D12" s="19" t="str">
        <f>DATA_MASTER!B12</f>
        <v>Mortgage</v>
      </c>
      <c r="E12" s="23">
        <f>DATA_MASTER!C12</f>
        <v>4038.7</v>
      </c>
      <c r="F12" s="18">
        <f>DATA_MASTER!G12</f>
        <v>3.6104477331277383E-3</v>
      </c>
      <c r="G12" s="18">
        <f>DATA_MASTER!H12</f>
        <v>8.5000000000000006E-2</v>
      </c>
      <c r="H12" s="20">
        <v>1.2999999999999999E-2</v>
      </c>
      <c r="I12" s="21">
        <v>0.2</v>
      </c>
      <c r="J12" s="17">
        <f>SUMPRODUCT($E$12:$E$15,$G$12:$G$15)/SUM($E$12:$E$15)</f>
        <v>0.13961891846313837</v>
      </c>
      <c r="K12" s="17">
        <f t="shared" si="1"/>
        <v>2.076216307372326E-3</v>
      </c>
      <c r="L12" s="17">
        <f t="shared" si="2"/>
        <v>-1.5342314257554123E-3</v>
      </c>
      <c r="M12" s="21">
        <v>0.5</v>
      </c>
    </row>
    <row r="13" spans="1:13">
      <c r="A13" s="24">
        <f t="shared" si="0"/>
        <v>13.547532723765986</v>
      </c>
      <c r="B13" s="19" t="str">
        <f>DATA_MASTER!A13</f>
        <v>31.12.2024</v>
      </c>
      <c r="C13" s="16" t="s">
        <v>93</v>
      </c>
      <c r="D13" s="19" t="str">
        <f>DATA_MASTER!B13</f>
        <v>Consumer</v>
      </c>
      <c r="E13" s="23">
        <f>DATA_MASTER!C13</f>
        <v>2134.3000000000002</v>
      </c>
      <c r="F13" s="18">
        <f>DATA_MASTER!G13</f>
        <v>1.0781156827668456E-2</v>
      </c>
      <c r="G13" s="18">
        <f>DATA_MASTER!H13</f>
        <v>0.192</v>
      </c>
      <c r="H13" s="20">
        <v>1.2999999999999999E-2</v>
      </c>
      <c r="I13" s="21">
        <v>0.2</v>
      </c>
      <c r="J13" s="17">
        <f>SUMPRODUCT($E$12:$E$15,$G$12:$G$15)/SUM($E$12:$E$15)</f>
        <v>0.13961891846313837</v>
      </c>
      <c r="K13" s="17">
        <f t="shared" si="1"/>
        <v>2.3476216307372327E-2</v>
      </c>
      <c r="L13" s="17">
        <f t="shared" si="2"/>
        <v>1.269505947970387E-2</v>
      </c>
      <c r="M13" s="21">
        <v>0.5</v>
      </c>
    </row>
    <row r="14" spans="1:13">
      <c r="A14" s="24">
        <f t="shared" si="0"/>
        <v>-20.835402993023347</v>
      </c>
      <c r="B14" s="19" t="str">
        <f>DATA_MASTER!A14</f>
        <v>31.12.2024</v>
      </c>
      <c r="C14" s="16" t="s">
        <v>93</v>
      </c>
      <c r="D14" s="19" t="str">
        <f>DATA_MASTER!B14</f>
        <v>Auto</v>
      </c>
      <c r="E14" s="23">
        <f>DATA_MASTER!C14</f>
        <v>652.6</v>
      </c>
      <c r="F14" s="18">
        <f>DATA_MASTER!G14</f>
        <v>9.352973452074452E-2</v>
      </c>
      <c r="G14" s="18">
        <f>DATA_MASTER!H14</f>
        <v>0.223</v>
      </c>
      <c r="H14" s="20">
        <v>1.2999999999999999E-2</v>
      </c>
      <c r="I14" s="21">
        <v>0.2</v>
      </c>
      <c r="J14" s="17">
        <f>SUMPRODUCT($E$12:$E$15,$G$12:$G$15)/SUM($E$12:$E$15)</f>
        <v>0.13961891846313837</v>
      </c>
      <c r="K14" s="17">
        <f t="shared" si="1"/>
        <v>2.9676216307372327E-2</v>
      </c>
      <c r="L14" s="17">
        <f t="shared" si="2"/>
        <v>-6.3853518213372193E-2</v>
      </c>
      <c r="M14" s="21">
        <v>0.5</v>
      </c>
    </row>
    <row r="15" spans="1:13">
      <c r="A15" s="24">
        <f t="shared" si="0"/>
        <v>-1.7298462341884511</v>
      </c>
      <c r="B15" s="19" t="str">
        <f>DATA_MASTER!A15</f>
        <v>31.12.2024</v>
      </c>
      <c r="C15" s="16" t="s">
        <v>93</v>
      </c>
      <c r="D15" s="19" t="str">
        <f>DATA_MASTER!B15</f>
        <v>Cards</v>
      </c>
      <c r="E15" s="23">
        <f>DATA_MASTER!C15</f>
        <v>290.2</v>
      </c>
      <c r="F15" s="18">
        <f>DATA_MASTER!G15</f>
        <v>6.239796843823691E-2</v>
      </c>
      <c r="G15" s="18">
        <f>DATA_MASTER!H15</f>
        <v>0.32700000000000001</v>
      </c>
      <c r="H15" s="20">
        <v>1.2999999999999999E-2</v>
      </c>
      <c r="I15" s="21">
        <v>0.2</v>
      </c>
      <c r="J15" s="17">
        <f>SUMPRODUCT($E$12:$E$15,$G$12:$G$15)/SUM($E$12:$E$15)</f>
        <v>0.13961891846313837</v>
      </c>
      <c r="K15" s="17">
        <f t="shared" si="1"/>
        <v>5.0476216307372326E-2</v>
      </c>
      <c r="L15" s="17">
        <f t="shared" si="2"/>
        <v>-1.1921752130864584E-2</v>
      </c>
      <c r="M15" s="21">
        <v>0.5</v>
      </c>
    </row>
    <row r="16" spans="1:13">
      <c r="A16" s="24">
        <f t="shared" si="0"/>
        <v>-12.070341478159275</v>
      </c>
      <c r="B16" s="19" t="str">
        <f>DATA_MASTER!A16</f>
        <v>30.06.2025</v>
      </c>
      <c r="C16" s="16" t="s">
        <v>94</v>
      </c>
      <c r="D16" s="19" t="str">
        <f>DATA_MASTER!B16</f>
        <v>Mortgage</v>
      </c>
      <c r="E16" s="23">
        <f>DATA_MASTER!C16</f>
        <v>4052.6</v>
      </c>
      <c r="F16" s="18">
        <f>DATA_MASTER!G16</f>
        <v>5.3390678877312681E-3</v>
      </c>
      <c r="G16" s="18">
        <f>DATA_MASTER!H16</f>
        <v>7.4999999999999997E-2</v>
      </c>
      <c r="H16" s="20">
        <v>8.9999999999999993E-3</v>
      </c>
      <c r="I16" s="21">
        <v>0.2</v>
      </c>
      <c r="J16" s="17">
        <f>SUMPRODUCT($E$16:$E$19,$G$16:$G$19)/SUM($E$16:$E$19)</f>
        <v>0.12308885213751518</v>
      </c>
      <c r="K16" s="17">
        <f t="shared" si="1"/>
        <v>-6.177704275030383E-4</v>
      </c>
      <c r="L16" s="17">
        <f t="shared" si="2"/>
        <v>-5.9568383152343064E-3</v>
      </c>
      <c r="M16" s="21">
        <v>0.5</v>
      </c>
    </row>
    <row r="17" spans="1:13">
      <c r="A17" s="24">
        <f t="shared" si="0"/>
        <v>-17.175638044738221</v>
      </c>
      <c r="B17" s="19" t="str">
        <f>DATA_MASTER!A17</f>
        <v>30.06.2025</v>
      </c>
      <c r="C17" s="16" t="s">
        <v>94</v>
      </c>
      <c r="D17" s="19" t="str">
        <f>DATA_MASTER!B17</f>
        <v>Consumer</v>
      </c>
      <c r="E17" s="23">
        <f>DATA_MASTER!C17</f>
        <v>1889.2</v>
      </c>
      <c r="F17" s="18">
        <f>DATA_MASTER!G17</f>
        <v>3.996520442400895E-2</v>
      </c>
      <c r="G17" s="18">
        <f>DATA_MASTER!H17</f>
        <v>0.187</v>
      </c>
      <c r="H17" s="20">
        <v>8.9999999999999993E-3</v>
      </c>
      <c r="I17" s="21">
        <v>0.2</v>
      </c>
      <c r="J17" s="17">
        <f>SUMPRODUCT($E$16:$E$19,$G$16:$G$19)/SUM($E$16:$E$19)</f>
        <v>0.12308885213751518</v>
      </c>
      <c r="K17" s="17">
        <f t="shared" si="1"/>
        <v>2.1782229572496967E-2</v>
      </c>
      <c r="L17" s="17">
        <f t="shared" si="2"/>
        <v>-1.8182974851511984E-2</v>
      </c>
      <c r="M17" s="21">
        <v>0.5</v>
      </c>
    </row>
    <row r="18" spans="1:13">
      <c r="A18" s="24">
        <f t="shared" si="0"/>
        <v>-19.610735866621209</v>
      </c>
      <c r="B18" s="19" t="str">
        <f>DATA_MASTER!A18</f>
        <v>30.06.2025</v>
      </c>
      <c r="C18" s="16" t="s">
        <v>94</v>
      </c>
      <c r="D18" s="19" t="str">
        <f>DATA_MASTER!B18</f>
        <v>Auto</v>
      </c>
      <c r="E18" s="23">
        <f>DATA_MASTER!C18</f>
        <v>614.1</v>
      </c>
      <c r="F18" s="18">
        <f>DATA_MASTER!G18</f>
        <v>8.3050446040893663E-2</v>
      </c>
      <c r="G18" s="18">
        <f>DATA_MASTER!H18</f>
        <v>0.17399999999999999</v>
      </c>
      <c r="H18" s="20">
        <v>8.9999999999999993E-3</v>
      </c>
      <c r="I18" s="21">
        <v>0.2</v>
      </c>
      <c r="J18" s="17">
        <f>SUMPRODUCT($E$16:$E$19,$G$16:$G$19)/SUM($E$16:$E$19)</f>
        <v>0.12308885213751518</v>
      </c>
      <c r="K18" s="17">
        <f t="shared" si="1"/>
        <v>1.9182229572496962E-2</v>
      </c>
      <c r="L18" s="17">
        <f t="shared" si="2"/>
        <v>-6.3868216468396702E-2</v>
      </c>
      <c r="M18" s="21">
        <v>0.5</v>
      </c>
    </row>
    <row r="19" spans="1:13">
      <c r="A19" s="24">
        <f t="shared" si="0"/>
        <v>-3.8395811202881118</v>
      </c>
      <c r="B19" s="19" t="str">
        <f>DATA_MASTER!A19</f>
        <v>30.06.2025</v>
      </c>
      <c r="C19" s="16" t="s">
        <v>94</v>
      </c>
      <c r="D19" s="19" t="str">
        <f>DATA_MASTER!B19</f>
        <v>Cards</v>
      </c>
      <c r="E19" s="23">
        <f>DATA_MASTER!C19</f>
        <v>276.8</v>
      </c>
      <c r="F19" s="18">
        <f>DATA_MASTER!G19</f>
        <v>6.7724867724867716E-2</v>
      </c>
      <c r="G19" s="18">
        <f>DATA_MASTER!H19</f>
        <v>0.27800000000000002</v>
      </c>
      <c r="H19" s="20">
        <v>8.9999999999999993E-3</v>
      </c>
      <c r="I19" s="21">
        <v>0.2</v>
      </c>
      <c r="J19" s="17">
        <f>SUMPRODUCT($E$16:$E$19,$G$16:$G$19)/SUM($E$16:$E$19)</f>
        <v>0.12308885213751518</v>
      </c>
      <c r="K19" s="17">
        <f t="shared" si="1"/>
        <v>3.9982229572496968E-2</v>
      </c>
      <c r="L19" s="17">
        <f t="shared" si="2"/>
        <v>-2.7742638152370748E-2</v>
      </c>
      <c r="M19" s="21">
        <v>0.5</v>
      </c>
    </row>
    <row r="20" spans="1:13">
      <c r="A20" s="24">
        <f t="shared" si="0"/>
        <v>8.2026568662751984</v>
      </c>
      <c r="B20" s="19" t="str">
        <f>DATA_MASTER!A20</f>
        <v>31.12.2025</v>
      </c>
      <c r="C20" s="16" t="s">
        <v>95</v>
      </c>
      <c r="D20" s="19" t="str">
        <f>DATA_MASTER!B20</f>
        <v>Mortgage</v>
      </c>
      <c r="E20" s="23">
        <f>DATA_MASTER!C20</f>
        <v>4364.8</v>
      </c>
      <c r="F20" s="18">
        <f>DATA_MASTER!G20</f>
        <v>7.5082567063463786E-3</v>
      </c>
      <c r="G20" s="18">
        <f>DATA_MASTER!H20</f>
        <v>7.5999999999999998E-2</v>
      </c>
      <c r="H20" s="20">
        <v>1.7500000000000002E-2</v>
      </c>
      <c r="I20" s="21">
        <v>0.2</v>
      </c>
      <c r="J20" s="17">
        <f>SUMPRODUCT($E$20:$E$23,$G$20:$G$23)/SUM($E$20:$E$23)</f>
        <v>0.10716597254809949</v>
      </c>
      <c r="K20" s="17">
        <f t="shared" si="1"/>
        <v>1.1266805490380102E-2</v>
      </c>
      <c r="L20" s="17">
        <f t="shared" si="2"/>
        <v>3.7585487840337238E-3</v>
      </c>
      <c r="M20" s="21">
        <v>0.5</v>
      </c>
    </row>
    <row r="21" spans="1:13">
      <c r="A21" s="24">
        <f t="shared" si="0"/>
        <v>2.2059333876372134</v>
      </c>
      <c r="B21" s="19" t="str">
        <f>DATA_MASTER!A21</f>
        <v>31.12.2025</v>
      </c>
      <c r="C21" s="16" t="s">
        <v>95</v>
      </c>
      <c r="D21" s="19" t="str">
        <f>DATA_MASTER!B21</f>
        <v>Consumer</v>
      </c>
      <c r="E21" s="23">
        <f>DATA_MASTER!C21</f>
        <v>1644.8</v>
      </c>
      <c r="F21" s="18">
        <f>DATA_MASTER!G21</f>
        <v>2.2184493491793994E-2</v>
      </c>
      <c r="G21" s="18">
        <f>DATA_MASTER!H21</f>
        <v>0.14399999999999999</v>
      </c>
      <c r="H21" s="20">
        <v>1.7500000000000002E-2</v>
      </c>
      <c r="I21" s="21">
        <v>0.2</v>
      </c>
      <c r="J21" s="17">
        <f>SUMPRODUCT($E$20:$E$23,$G$20:$G$23)/SUM($E$20:$E$23)</f>
        <v>0.10716597254809949</v>
      </c>
      <c r="K21" s="17">
        <f t="shared" si="1"/>
        <v>2.48668054903801E-2</v>
      </c>
      <c r="L21" s="17">
        <f t="shared" si="2"/>
        <v>2.6823119985861059E-3</v>
      </c>
      <c r="M21" s="21">
        <v>0.5</v>
      </c>
    </row>
    <row r="22" spans="1:13">
      <c r="A22" s="24">
        <f t="shared" si="0"/>
        <v>-8.4268410807719345</v>
      </c>
      <c r="B22" s="19" t="str">
        <f>DATA_MASTER!A22</f>
        <v>31.12.2025</v>
      </c>
      <c r="C22" s="16" t="s">
        <v>95</v>
      </c>
      <c r="D22" s="19" t="str">
        <f>DATA_MASTER!B22</f>
        <v>Auto</v>
      </c>
      <c r="E22" s="23">
        <f>DATA_MASTER!C22</f>
        <v>560.70000000000005</v>
      </c>
      <c r="F22" s="18">
        <f>DATA_MASTER!G22</f>
        <v>5.9925093632958788E-2</v>
      </c>
      <c r="G22" s="18">
        <f>DATA_MASTER!H22</f>
        <v>0.16900000000000001</v>
      </c>
      <c r="H22" s="20">
        <v>1.7500000000000002E-2</v>
      </c>
      <c r="I22" s="21">
        <v>0.2</v>
      </c>
      <c r="J22" s="17">
        <f>SUMPRODUCT($E$20:$E$23,$G$20:$G$23)/SUM($E$20:$E$23)</f>
        <v>0.10716597254809949</v>
      </c>
      <c r="K22" s="17">
        <f t="shared" si="1"/>
        <v>2.9866805490380108E-2</v>
      </c>
      <c r="L22" s="17">
        <f t="shared" si="2"/>
        <v>-3.005828814257868E-2</v>
      </c>
      <c r="M22" s="21">
        <v>0.5</v>
      </c>
    </row>
    <row r="23" spans="1:13">
      <c r="A23" s="24">
        <f t="shared" si="0"/>
        <v>-0.37279139626946811</v>
      </c>
      <c r="B23" s="19" t="str">
        <f>DATA_MASTER!A23</f>
        <v>31.12.2025</v>
      </c>
      <c r="C23" s="16" t="s">
        <v>95</v>
      </c>
      <c r="D23" s="19" t="str">
        <f>DATA_MASTER!B23</f>
        <v>Cards</v>
      </c>
      <c r="E23" s="23">
        <f>DATA_MASTER!C23</f>
        <v>248.9</v>
      </c>
      <c r="F23" s="18">
        <f>DATA_MASTER!G23</f>
        <v>5.3262316910785631E-2</v>
      </c>
      <c r="G23" s="18">
        <f>DATA_MASTER!H23</f>
        <v>0.27100000000000002</v>
      </c>
      <c r="H23" s="20">
        <v>1.7500000000000002E-2</v>
      </c>
      <c r="I23" s="21">
        <v>0.2</v>
      </c>
      <c r="J23" s="17">
        <f>SUMPRODUCT($E$20:$E$23,$G$20:$G$23)/SUM($E$20:$E$23)</f>
        <v>0.10716597254809949</v>
      </c>
      <c r="K23" s="17">
        <f t="shared" si="1"/>
        <v>5.0266805490380102E-2</v>
      </c>
      <c r="L23" s="17">
        <f t="shared" si="2"/>
        <v>-2.9955114204055291E-3</v>
      </c>
      <c r="M23" s="21">
        <v>0.5</v>
      </c>
    </row>
    <row r="24" spans="1:13">
      <c r="A24" s="24">
        <f t="shared" si="0"/>
        <v>26.751558532112711</v>
      </c>
      <c r="B24" s="19" t="str">
        <f>DATA_MASTER!A24</f>
        <v>30.06.2026</v>
      </c>
      <c r="C24" s="16" t="s">
        <v>96</v>
      </c>
      <c r="D24" s="19" t="str">
        <f>DATA_MASTER!B24</f>
        <v>Mortgage</v>
      </c>
      <c r="E24" s="23">
        <f>DATA_MASTER!C24</f>
        <v>4279.8</v>
      </c>
      <c r="F24" s="18">
        <f>DATA_MASTER!G24</f>
        <v>6.8019341554265084E-3</v>
      </c>
      <c r="G24" s="18">
        <f>DATA_MASTER!H24</f>
        <v>0.09</v>
      </c>
      <c r="H24" s="20">
        <v>2.5999999999999999E-2</v>
      </c>
      <c r="I24" s="21">
        <v>0.2</v>
      </c>
      <c r="J24" s="17">
        <f>SUMPRODUCT($E$24:$E$27,$G$24:$G$27)/SUM($E$24:$E$27)</f>
        <v>0.12348376692530048</v>
      </c>
      <c r="K24" s="17">
        <f t="shared" si="1"/>
        <v>1.9303246614939901E-2</v>
      </c>
      <c r="L24" s="17">
        <f t="shared" si="2"/>
        <v>1.2501312459513393E-2</v>
      </c>
      <c r="M24" s="21">
        <v>0.5</v>
      </c>
    </row>
    <row r="25" spans="1:13">
      <c r="A25" s="24">
        <f t="shared" si="0"/>
        <v>-4.7387012808413855</v>
      </c>
      <c r="B25" s="19" t="str">
        <f>DATA_MASTER!A25</f>
        <v>30.06.2026</v>
      </c>
      <c r="C25" s="16" t="s">
        <v>96</v>
      </c>
      <c r="D25" s="19" t="str">
        <f>DATA_MASTER!B25</f>
        <v>Consumer</v>
      </c>
      <c r="E25" s="23">
        <f>DATA_MASTER!C25</f>
        <v>1525.9</v>
      </c>
      <c r="F25" s="18">
        <f>DATA_MASTER!G25</f>
        <v>4.2514271296559124E-2</v>
      </c>
      <c r="G25" s="18">
        <f>DATA_MASTER!H25</f>
        <v>0.17499999999999999</v>
      </c>
      <c r="H25" s="20">
        <v>2.5999999999999999E-2</v>
      </c>
      <c r="I25" s="21">
        <v>0.2</v>
      </c>
      <c r="J25" s="17">
        <f>SUMPRODUCT($E$24:$E$27,$G$24:$G$27)/SUM($E$24:$E$27)</f>
        <v>0.12348376692530048</v>
      </c>
      <c r="K25" s="17">
        <f t="shared" si="1"/>
        <v>3.6303246614939902E-2</v>
      </c>
      <c r="L25" s="17">
        <f t="shared" si="2"/>
        <v>-6.2110246816192219E-3</v>
      </c>
      <c r="M25" s="21">
        <v>0.5</v>
      </c>
    </row>
    <row r="26" spans="1:13">
      <c r="A26" s="24">
        <f t="shared" si="0"/>
        <v>-2.4887225773636734</v>
      </c>
      <c r="B26" s="19" t="str">
        <f>DATA_MASTER!A26</f>
        <v>30.06.2026</v>
      </c>
      <c r="C26" s="16" t="s">
        <v>96</v>
      </c>
      <c r="D26" s="19" t="str">
        <f>DATA_MASTER!B26</f>
        <v>Auto</v>
      </c>
      <c r="E26" s="23">
        <f>DATA_MASTER!C26</f>
        <v>543.9</v>
      </c>
      <c r="F26" s="18">
        <f>DATA_MASTER!G26</f>
        <v>4.3454644215100494E-2</v>
      </c>
      <c r="G26" s="18">
        <f>DATA_MASTER!H26</f>
        <v>0.16500000000000001</v>
      </c>
      <c r="H26" s="20">
        <v>2.5999999999999999E-2</v>
      </c>
      <c r="I26" s="21">
        <v>0.2</v>
      </c>
      <c r="J26" s="17">
        <f>SUMPRODUCT($E$24:$E$27,$G$24:$G$27)/SUM($E$24:$E$27)</f>
        <v>0.12348376692530048</v>
      </c>
      <c r="K26" s="17">
        <f t="shared" si="1"/>
        <v>3.43032466149399E-2</v>
      </c>
      <c r="L26" s="17">
        <f t="shared" si="2"/>
        <v>-9.1513976001605934E-3</v>
      </c>
      <c r="M26" s="21">
        <v>0.5</v>
      </c>
    </row>
    <row r="27" spans="1:13">
      <c r="A27" s="24">
        <f t="shared" si="0"/>
        <v>0.87199395537915314</v>
      </c>
      <c r="B27" s="19" t="str">
        <f>DATA_MASTER!A27</f>
        <v>30.06.2026</v>
      </c>
      <c r="C27" s="16" t="s">
        <v>96</v>
      </c>
      <c r="D27" s="19" t="str">
        <f>DATA_MASTER!B27</f>
        <v>Cards</v>
      </c>
      <c r="E27" s="23">
        <f>DATA_MASTER!C27</f>
        <v>223.4</v>
      </c>
      <c r="F27" s="18">
        <f>DATA_MASTER!G27</f>
        <v>5.5896675841626081E-2</v>
      </c>
      <c r="G27" s="18">
        <f>DATA_MASTER!H27</f>
        <v>0.312</v>
      </c>
      <c r="H27" s="20">
        <v>2.5999999999999999E-2</v>
      </c>
      <c r="I27" s="21">
        <v>0.2</v>
      </c>
      <c r="J27" s="17">
        <f>SUMPRODUCT($E$24:$E$27,$G$24:$G$27)/SUM($E$24:$E$27)</f>
        <v>0.12348376692530048</v>
      </c>
      <c r="K27" s="17">
        <f t="shared" si="1"/>
        <v>6.3703246614939896E-2</v>
      </c>
      <c r="L27" s="17">
        <f t="shared" si="2"/>
        <v>7.8065707733138145E-3</v>
      </c>
      <c r="M27" s="2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DATA_MASTER</vt:lpstr>
      <vt:lpstr>SOURCES</vt:lpstr>
      <vt:lpstr>MODEL_DATA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Артём Дзюбан</cp:lastModifiedBy>
  <dcterms:modified xsi:type="dcterms:W3CDTF">2026-09-16T15:13:26Z</dcterms:modified>
</cp:coreProperties>
</file>