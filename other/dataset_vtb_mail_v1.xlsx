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e5354ff6102abe/Рабочий стол/"/>
    </mc:Choice>
  </mc:AlternateContent>
  <xr:revisionPtr revIDLastSave="31" documentId="13_ncr:1_{A203B625-EFDB-4AD4-B5AE-C4DE1EE5C615}" xr6:coauthVersionLast="47" xr6:coauthVersionMax="47" xr10:uidLastSave="{C4637CE4-57DB-43AD-A7BF-5F810795C031}"/>
  <bookViews>
    <workbookView xWindow="-108" yWindow="-108" windowWidth="23256" windowHeight="12456" xr2:uid="{00000000-000D-0000-FFFF-FFFF00000000}"/>
  </bookViews>
  <sheets>
    <sheet name="DATA_MASTER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G11" i="1" s="1"/>
  <c r="E10" i="1"/>
  <c r="G10" i="1" s="1"/>
  <c r="E9" i="1"/>
  <c r="E8" i="1"/>
  <c r="G8" i="1" s="1"/>
  <c r="E27" i="1"/>
  <c r="G27" i="1" s="1"/>
  <c r="E26" i="1"/>
  <c r="E25" i="1"/>
  <c r="G25" i="1" s="1"/>
  <c r="E24" i="1"/>
  <c r="G24" i="1" s="1"/>
  <c r="E19" i="1"/>
  <c r="E18" i="1"/>
  <c r="E17" i="1"/>
  <c r="E16" i="1"/>
  <c r="C4" i="1"/>
  <c r="C5" i="1"/>
  <c r="C6" i="1"/>
  <c r="C7" i="1"/>
  <c r="J8" i="1"/>
  <c r="J16" i="1"/>
  <c r="C12" i="1"/>
  <c r="C13" i="1"/>
  <c r="C14" i="1"/>
  <c r="C15" i="1"/>
  <c r="G16" i="1"/>
  <c r="F12" i="1"/>
  <c r="F31" i="1"/>
  <c r="G21" i="1"/>
  <c r="G31" i="1"/>
  <c r="G30" i="1"/>
  <c r="G29" i="1"/>
  <c r="G28" i="1"/>
  <c r="G26" i="1"/>
  <c r="G23" i="1"/>
  <c r="G22" i="1"/>
  <c r="G20" i="1"/>
  <c r="F9" i="1"/>
  <c r="F10" i="1"/>
  <c r="F11" i="1"/>
  <c r="F13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G9" i="1" l="1"/>
  <c r="G13" i="1"/>
  <c r="G17" i="1"/>
  <c r="G18" i="1"/>
  <c r="G14" i="1"/>
  <c r="F14" i="1"/>
  <c r="F15" i="1"/>
  <c r="G19" i="1"/>
  <c r="G15" i="1"/>
  <c r="G12" i="1"/>
  <c r="F8" i="1"/>
</calcChain>
</file>

<file path=xl/sharedStrings.xml><?xml version="1.0" encoding="utf-8"?>
<sst xmlns="http://schemas.openxmlformats.org/spreadsheetml/2006/main" count="93" uniqueCount="51">
  <si>
    <t>Продукт</t>
  </si>
  <si>
    <t>Product</t>
  </si>
  <si>
    <t>product</t>
  </si>
  <si>
    <t>Mortgage</t>
  </si>
  <si>
    <t>Consumer</t>
  </si>
  <si>
    <t>Auto</t>
  </si>
  <si>
    <t>Cards</t>
  </si>
  <si>
    <t>31.12.2023</t>
  </si>
  <si>
    <t>30.06.2024</t>
  </si>
  <si>
    <t>31.12.2024</t>
  </si>
  <si>
    <t>30.06.2025</t>
  </si>
  <si>
    <t>31.12.2025</t>
  </si>
  <si>
    <t>30.06.2026</t>
  </si>
  <si>
    <t>Отчетная дата</t>
  </si>
  <si>
    <t>report_date</t>
  </si>
  <si>
    <t>Report date</t>
  </si>
  <si>
    <t>Экспозиция, млрд руб.</t>
  </si>
  <si>
    <t>Резерв ECL, млрд руб.</t>
  </si>
  <si>
    <t>Переоценка ECL, млрд руб.</t>
  </si>
  <si>
    <t>Уровень ECL, %</t>
  </si>
  <si>
    <t>Стоимость кредитного риска, %</t>
  </si>
  <si>
    <t>Ставка по продукту, %</t>
  </si>
  <si>
    <t>Стоимость фондирования, %</t>
  </si>
  <si>
    <t>Exposure, RUB bn</t>
  </si>
  <si>
    <t>ECL reserve, RUB bn</t>
  </si>
  <si>
    <t>ECL remeasurement, RUB bn</t>
  </si>
  <si>
    <t>ECL rate, %</t>
  </si>
  <si>
    <t>Credit cost, %</t>
  </si>
  <si>
    <t>Product rate, %</t>
  </si>
  <si>
    <t>Funding rate, %</t>
  </si>
  <si>
    <t>exposure</t>
  </si>
  <si>
    <t>ecl_reserve</t>
  </si>
  <si>
    <t>ecl_remeasurement</t>
  </si>
  <si>
    <t>ecl_rate</t>
  </si>
  <si>
    <t>credit_cost</t>
  </si>
  <si>
    <t>product_rate</t>
  </si>
  <si>
    <t>funding_rate</t>
  </si>
  <si>
    <t>Документ</t>
  </si>
  <si>
    <t>Источник</t>
  </si>
  <si>
    <t>ВТБ — МСФО 2024</t>
  </si>
  <si>
    <t>ВТБ — МСФО 6М2025</t>
  </si>
  <si>
    <t>ВТБ — МСФО 2025</t>
  </si>
  <si>
    <t>ВТБ — МСФО 6М2026</t>
  </si>
  <si>
    <t>Официальный архив:</t>
  </si>
  <si>
    <t>https://www.vtb.ru/ir/statements/results/</t>
  </si>
  <si>
    <t>https://www.vtb.ru/media-files/vtb.ru/sitepages/ir/statements/results/rus-vtb-group-ifrs-as-of-30-june-2026.pdf</t>
  </si>
  <si>
    <t>https://www.vtb.ru/media-files/vtb.ru/sitepages/ir/statements/results/rus-vtb-group-ifrs-as-of-31-december-2025.pdf</t>
  </si>
  <si>
    <t>https://www.vtb.ru/media-files/vtb.ru/sitepages/ir/statements/results/rus-vtb-group-ifrs-as-of-30-june-2025.pdf</t>
  </si>
  <si>
    <t>https://www.vtb.ru/media-files/vtb.ru/sitepages/ir/statements/results/ifrs_2024_rus.pdf</t>
  </si>
  <si>
    <t>Процентные ставки по кредитам</t>
  </si>
  <si>
    <t>https://www.cbr.ru/statistics/bank_sector/int_rat/0626/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</si>
</sst>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;[Red]#,##0.0"/>
  </numFmts>
  <fonts count="7">
    <font>
      <sz val="11"/>
      <name val="Carlito"/>
    </font>
    <font>
      <sz val="10"/>
      <color rgb="FF000000"/>
      <name val="Carlito"/>
    </font>
    <font>
      <b/>
      <sz val="10"/>
      <color rgb="FF000000"/>
      <name val="Carlito"/>
    </font>
    <font>
      <i/>
      <sz val="9"/>
      <color rgb="FF000000"/>
      <name val="Carlito"/>
    </font>
    <font>
      <sz val="11"/>
      <name val="Carlito"/>
    </font>
    <font>
      <b/>
      <sz val="11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4" fillId="0" borderId="2"/>
    <xf numFmtId="0" fontId="4" fillId="0" borderId="2"/>
    <xf numFmtId="0" fontId="4" fillId="0" borderId="2"/>
  </cellStyleXfs>
  <cellXfs count="20">
    <xf numFmtId="0" fontId="0" fillId="0" borderId="0" xfId="0"/>
    <xf numFmtId="0" fontId="2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2" fillId="4" borderId="0" xfId="1" applyFont="1" applyFill="1" applyAlignment="1">
      <alignment vertical="top" wrapText="1"/>
    </xf>
    <xf numFmtId="0" fontId="2" fillId="5" borderId="0" xfId="1" applyFont="1" applyFill="1" applyAlignment="1">
      <alignment vertical="top" wrapText="1"/>
    </xf>
    <xf numFmtId="164" fontId="1" fillId="6" borderId="0" xfId="1" applyNumberFormat="1" applyFont="1" applyFill="1" applyAlignment="1">
      <alignment vertical="top" wrapText="1"/>
    </xf>
    <xf numFmtId="164" fontId="0" fillId="0" borderId="0" xfId="0" applyNumberFormat="1"/>
    <xf numFmtId="0" fontId="5" fillId="0" borderId="0" xfId="0" applyFont="1" applyAlignment="1">
      <alignment horizontal="center" vertical="center" wrapText="1"/>
    </xf>
    <xf numFmtId="14" fontId="1" fillId="0" borderId="0" xfId="1" applyNumberFormat="1" applyFont="1" applyAlignment="1">
      <alignment vertical="top" wrapText="1"/>
    </xf>
    <xf numFmtId="14" fontId="1" fillId="7" borderId="0" xfId="1" applyNumberFormat="1" applyFont="1" applyFill="1" applyAlignment="1">
      <alignment horizontal="left" vertical="top" wrapText="1"/>
    </xf>
    <xf numFmtId="0" fontId="1" fillId="7" borderId="0" xfId="1" applyFont="1" applyFill="1" applyAlignment="1">
      <alignment vertical="top" wrapText="1"/>
    </xf>
    <xf numFmtId="164" fontId="1" fillId="7" borderId="0" xfId="1" applyNumberFormat="1" applyFont="1" applyFill="1" applyAlignment="1">
      <alignment vertical="top" wrapText="1"/>
    </xf>
    <xf numFmtId="10" fontId="1" fillId="7" borderId="0" xfId="1" applyNumberFormat="1" applyFont="1" applyFill="1" applyAlignment="1">
      <alignment vertical="top" wrapText="1"/>
    </xf>
    <xf numFmtId="0" fontId="5" fillId="0" borderId="0" xfId="0" applyFont="1"/>
    <xf numFmtId="0" fontId="0" fillId="0" borderId="2" xfId="0" applyBorder="1"/>
    <xf numFmtId="10" fontId="1" fillId="2" borderId="0" xfId="1" applyNumberFormat="1" applyFont="1" applyFill="1" applyAlignment="1">
      <alignment vertical="top" wrapText="1"/>
    </xf>
    <xf numFmtId="10" fontId="1" fillId="0" borderId="0" xfId="1" applyNumberFormat="1" applyFont="1" applyAlignment="1">
      <alignment vertical="top" wrapText="1"/>
    </xf>
  </cellXfs>
  <cellStyles count="5">
    <cellStyle name="Normal" xfId="1" xr:uid="{00000000-0005-0000-0000-000000000000}"/>
    <cellStyle name="Normal 2" xfId="3" xr:uid="{C87A5FEC-3F61-4BF4-B867-B84FBD39522D}"/>
    <cellStyle name="Обычный" xfId="0" builtinId="0"/>
    <cellStyle name="Обычный 2" xfId="2" xr:uid="{89E25BAA-13B1-4DB4-9093-B7264F395128}"/>
    <cellStyle name="Обычный 3" xfId="4" xr:uid="{5C562D19-C452-44F8-91B5-A50D56B25D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55" zoomScaleNormal="55" workbookViewId="0">
      <selection activeCell="H35" sqref="H35"/>
    </sheetView>
  </sheetViews>
  <sheetFormatPr defaultRowHeight="13.8"/>
  <cols>
    <col min="1" max="1" width="12.796875" bestFit="1" customWidth="1"/>
    <col min="2" max="2" width="9" bestFit="1" customWidth="1"/>
    <col min="3" max="3" width="16.59765625" bestFit="1" customWidth="1"/>
    <col min="4" max="4" width="16.69921875" bestFit="1" customWidth="1"/>
    <col min="5" max="5" width="17.59765625" bestFit="1" customWidth="1"/>
    <col min="6" max="6" width="14.3984375" bestFit="1" customWidth="1"/>
    <col min="7" max="7" width="18.59765625" customWidth="1"/>
    <col min="8" max="9" width="18.296875" customWidth="1"/>
  </cols>
  <sheetData>
    <row r="1" spans="1:10" ht="26.4">
      <c r="A1" s="1" t="s">
        <v>13</v>
      </c>
      <c r="B1" s="1" t="s">
        <v>0</v>
      </c>
      <c r="C1" s="7" t="s">
        <v>16</v>
      </c>
      <c r="D1" s="6" t="s">
        <v>17</v>
      </c>
      <c r="E1" s="6" t="s">
        <v>18</v>
      </c>
      <c r="F1" s="4" t="s">
        <v>19</v>
      </c>
      <c r="G1" s="4" t="s">
        <v>20</v>
      </c>
      <c r="H1" s="5" t="s">
        <v>21</v>
      </c>
      <c r="I1" s="5" t="s">
        <v>22</v>
      </c>
    </row>
    <row r="2" spans="1:10" ht="26.4">
      <c r="A2" s="2" t="s">
        <v>15</v>
      </c>
      <c r="B2" s="2" t="s">
        <v>1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</row>
    <row r="3" spans="1:10" ht="11.4" customHeight="1">
      <c r="A3" s="3" t="s">
        <v>14</v>
      </c>
      <c r="B3" s="3" t="s">
        <v>2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</row>
    <row r="4" spans="1:10">
      <c r="A4" s="12">
        <v>45107</v>
      </c>
      <c r="B4" s="13" t="s">
        <v>3</v>
      </c>
      <c r="C4" s="14">
        <f>C8*(1-$J$8/2)</f>
        <v>3737.0499999999997</v>
      </c>
      <c r="D4" s="14">
        <v>0</v>
      </c>
      <c r="E4" s="14">
        <v>0</v>
      </c>
      <c r="F4" s="14">
        <v>0</v>
      </c>
      <c r="G4" s="14">
        <v>0</v>
      </c>
      <c r="H4" s="15">
        <v>8.4500000000000006E-2</v>
      </c>
      <c r="I4" s="15">
        <v>7.3300000000000004E-2</v>
      </c>
    </row>
    <row r="5" spans="1:10">
      <c r="A5" s="12">
        <v>45107</v>
      </c>
      <c r="B5" s="13" t="s">
        <v>4</v>
      </c>
      <c r="C5" s="14">
        <f t="shared" ref="C5:C7" si="0">C9*(1-$J$8/2)</f>
        <v>1930.166459505941</v>
      </c>
      <c r="D5" s="14">
        <v>0</v>
      </c>
      <c r="E5" s="14">
        <v>0</v>
      </c>
      <c r="F5" s="14">
        <v>0</v>
      </c>
      <c r="G5" s="14">
        <v>0</v>
      </c>
      <c r="H5" s="15">
        <v>0.12509999999999999</v>
      </c>
      <c r="I5" s="15">
        <v>7.3300000000000004E-2</v>
      </c>
    </row>
    <row r="6" spans="1:10">
      <c r="A6" s="12">
        <v>45107</v>
      </c>
      <c r="B6" s="13" t="s">
        <v>5</v>
      </c>
      <c r="C6" s="14">
        <f t="shared" si="0"/>
        <v>400.71817672503647</v>
      </c>
      <c r="D6" s="14">
        <v>0</v>
      </c>
      <c r="E6" s="14">
        <v>0</v>
      </c>
      <c r="F6" s="14">
        <v>0</v>
      </c>
      <c r="G6" s="14">
        <v>0</v>
      </c>
      <c r="H6" s="15">
        <v>0.1389</v>
      </c>
      <c r="I6" s="15">
        <v>7.3300000000000004E-2</v>
      </c>
    </row>
    <row r="7" spans="1:10">
      <c r="A7" s="12">
        <v>45107</v>
      </c>
      <c r="B7" s="13" t="s">
        <v>6</v>
      </c>
      <c r="C7" s="14">
        <f t="shared" si="0"/>
        <v>225.92130498228059</v>
      </c>
      <c r="D7" s="14">
        <v>0</v>
      </c>
      <c r="E7" s="14">
        <v>0</v>
      </c>
      <c r="F7" s="14">
        <v>0</v>
      </c>
      <c r="G7" s="14">
        <v>0</v>
      </c>
      <c r="H7" s="15">
        <v>0.19420000000000001</v>
      </c>
      <c r="I7" s="15">
        <v>5.3499999999999999E-2</v>
      </c>
    </row>
    <row r="8" spans="1:10" ht="14.4" customHeight="1">
      <c r="A8" s="11" t="s">
        <v>7</v>
      </c>
      <c r="B8" s="2" t="s">
        <v>3</v>
      </c>
      <c r="C8" s="8">
        <v>3837.6</v>
      </c>
      <c r="D8" s="8">
        <v>36.9</v>
      </c>
      <c r="E8" s="8">
        <f>10.9/2</f>
        <v>5.45</v>
      </c>
      <c r="F8" s="18">
        <f>D8/C8</f>
        <v>9.6153846153846159E-3</v>
      </c>
      <c r="G8" s="18">
        <f>E8/((C8+C4)/2)*2</f>
        <v>2.8780207666360825E-3</v>
      </c>
      <c r="H8" s="19">
        <v>7.9100000000000004E-2</v>
      </c>
      <c r="I8" s="19">
        <v>0.11899999999999999</v>
      </c>
      <c r="J8">
        <f>(C16-C8)/C8</f>
        <v>5.2402543256201771E-2</v>
      </c>
    </row>
    <row r="9" spans="1:10" ht="14.4" customHeight="1">
      <c r="A9" s="11" t="s">
        <v>7</v>
      </c>
      <c r="B9" s="2" t="s">
        <v>4</v>
      </c>
      <c r="C9" s="8">
        <v>1982.1</v>
      </c>
      <c r="D9" s="8">
        <v>283.7</v>
      </c>
      <c r="E9" s="8">
        <f>23.1/2</f>
        <v>11.55</v>
      </c>
      <c r="F9" s="18">
        <f>D9/C9</f>
        <v>0.14313102265274205</v>
      </c>
      <c r="G9" s="18">
        <f t="shared" ref="G9:G11" si="1">E9/((C9+C5)/2)*2</f>
        <v>1.1809011599336297E-2</v>
      </c>
      <c r="H9" s="19">
        <v>0.13619999999999999</v>
      </c>
      <c r="I9" s="19">
        <v>0.11899999999999999</v>
      </c>
    </row>
    <row r="10" spans="1:10" ht="14.4" customHeight="1">
      <c r="A10" s="11" t="s">
        <v>7</v>
      </c>
      <c r="B10" s="2" t="s">
        <v>5</v>
      </c>
      <c r="C10" s="8">
        <v>411.5</v>
      </c>
      <c r="D10" s="8">
        <v>17.899999999999999</v>
      </c>
      <c r="E10" s="8">
        <f>4.6/2</f>
        <v>2.2999999999999998</v>
      </c>
      <c r="F10" s="18">
        <f>D10/C10</f>
        <v>4.3499392466585657E-2</v>
      </c>
      <c r="G10" s="18">
        <f t="shared" si="1"/>
        <v>1.1327005801686845E-2</v>
      </c>
      <c r="H10" s="19">
        <v>0.17810000000000001</v>
      </c>
      <c r="I10" s="19">
        <v>0.11899999999999999</v>
      </c>
    </row>
    <row r="11" spans="1:10" ht="14.4" customHeight="1">
      <c r="A11" s="11" t="s">
        <v>7</v>
      </c>
      <c r="B11" s="2" t="s">
        <v>6</v>
      </c>
      <c r="C11" s="8">
        <v>232</v>
      </c>
      <c r="D11" s="8">
        <v>40.1</v>
      </c>
      <c r="E11" s="8">
        <f>4/2</f>
        <v>2</v>
      </c>
      <c r="F11" s="18">
        <f>D11/C11</f>
        <v>0.1728448275862069</v>
      </c>
      <c r="G11" s="18">
        <f t="shared" si="1"/>
        <v>1.7470250702376823E-2</v>
      </c>
      <c r="H11" s="19">
        <v>0.21029999999999999</v>
      </c>
      <c r="I11" s="19">
        <v>0.1278</v>
      </c>
    </row>
    <row r="12" spans="1:10">
      <c r="A12" s="11" t="s">
        <v>8</v>
      </c>
      <c r="B12" s="2" t="s">
        <v>3</v>
      </c>
      <c r="C12" s="8">
        <f>(C16+C8)/2</f>
        <v>3938.1499999999996</v>
      </c>
      <c r="D12" s="8">
        <v>39.4</v>
      </c>
      <c r="E12" s="8">
        <v>5.4</v>
      </c>
      <c r="F12" s="18">
        <f>D12/C12</f>
        <v>1.0004697637215444E-2</v>
      </c>
      <c r="G12" s="18">
        <f>E12/((C12+C8)/2)*2</f>
        <v>2.7778670867761954E-3</v>
      </c>
      <c r="H12" s="19">
        <v>7.5999999999999998E-2</v>
      </c>
      <c r="I12" s="19">
        <v>0.13400000000000001</v>
      </c>
    </row>
    <row r="13" spans="1:10">
      <c r="A13" s="11" t="s">
        <v>8</v>
      </c>
      <c r="B13" s="2" t="s">
        <v>4</v>
      </c>
      <c r="C13" s="8">
        <f t="shared" ref="C13:C15" si="2">(C17+C9)/2</f>
        <v>2058.1999999999998</v>
      </c>
      <c r="D13" s="8">
        <v>291.7</v>
      </c>
      <c r="E13" s="8">
        <v>22.8</v>
      </c>
      <c r="F13" s="18">
        <f t="shared" ref="F13:F30" si="3">D13/C13</f>
        <v>0.14172577980759887</v>
      </c>
      <c r="G13" s="18">
        <f t="shared" ref="G13:G31" si="4">E13/((C13+C9)/2)*2</f>
        <v>2.2572581243967035E-2</v>
      </c>
      <c r="H13" s="19">
        <v>0.154</v>
      </c>
      <c r="I13" s="19">
        <v>0.13400000000000001</v>
      </c>
    </row>
    <row r="14" spans="1:10">
      <c r="A14" s="11" t="s">
        <v>8</v>
      </c>
      <c r="B14" s="2" t="s">
        <v>5</v>
      </c>
      <c r="C14" s="8">
        <f t="shared" si="2"/>
        <v>532.04999999999995</v>
      </c>
      <c r="D14" s="8">
        <v>27.1</v>
      </c>
      <c r="E14" s="8">
        <v>9.3000000000000007</v>
      </c>
      <c r="F14" s="18">
        <f t="shared" si="3"/>
        <v>5.09350624941265E-2</v>
      </c>
      <c r="G14" s="18">
        <f t="shared" si="4"/>
        <v>3.9425573631498068E-2</v>
      </c>
      <c r="H14" s="19">
        <v>0.17899999999999999</v>
      </c>
      <c r="I14" s="19">
        <v>0.13400000000000001</v>
      </c>
    </row>
    <row r="15" spans="1:10">
      <c r="A15" s="11" t="s">
        <v>8</v>
      </c>
      <c r="B15" s="2" t="s">
        <v>6</v>
      </c>
      <c r="C15" s="8">
        <f t="shared" si="2"/>
        <v>261.10000000000002</v>
      </c>
      <c r="D15" s="8">
        <v>45.2</v>
      </c>
      <c r="E15" s="8">
        <v>6.3</v>
      </c>
      <c r="F15" s="18">
        <f t="shared" si="3"/>
        <v>0.17311374952125622</v>
      </c>
      <c r="G15" s="18">
        <f t="shared" si="4"/>
        <v>5.1105252484283104E-2</v>
      </c>
      <c r="H15" s="19">
        <v>0.25900000000000001</v>
      </c>
      <c r="I15" s="19">
        <v>0.16300000000000001</v>
      </c>
    </row>
    <row r="16" spans="1:10">
      <c r="A16" s="11" t="s">
        <v>9</v>
      </c>
      <c r="B16" s="2" t="s">
        <v>3</v>
      </c>
      <c r="C16" s="8">
        <v>4038.7</v>
      </c>
      <c r="D16" s="8">
        <v>45.5</v>
      </c>
      <c r="E16" s="8">
        <f>12.6-E12</f>
        <v>7.1999999999999993</v>
      </c>
      <c r="F16" s="18">
        <f t="shared" si="3"/>
        <v>1.1266001436105679E-2</v>
      </c>
      <c r="G16" s="18">
        <f t="shared" si="4"/>
        <v>3.6104477331277383E-3</v>
      </c>
      <c r="H16" s="19">
        <v>8.5000000000000006E-2</v>
      </c>
      <c r="I16" s="19">
        <v>0.20899999999999999</v>
      </c>
      <c r="J16">
        <f>(C20-C16)/C16</f>
        <v>3.4417015376235153E-3</v>
      </c>
    </row>
    <row r="17" spans="1:9">
      <c r="A17" s="11" t="s">
        <v>9</v>
      </c>
      <c r="B17" s="2" t="s">
        <v>4</v>
      </c>
      <c r="C17" s="8">
        <v>2134.3000000000002</v>
      </c>
      <c r="D17" s="8">
        <v>251.6</v>
      </c>
      <c r="E17" s="8">
        <f>34.1-E13</f>
        <v>11.3</v>
      </c>
      <c r="F17" s="18">
        <f t="shared" si="3"/>
        <v>0.11788408377453966</v>
      </c>
      <c r="G17" s="18">
        <f t="shared" si="4"/>
        <v>1.0781156827668456E-2</v>
      </c>
      <c r="H17" s="19">
        <v>0.192</v>
      </c>
      <c r="I17" s="19">
        <v>0.20899999999999999</v>
      </c>
    </row>
    <row r="18" spans="1:9">
      <c r="A18" s="11" t="s">
        <v>9</v>
      </c>
      <c r="B18" s="2" t="s">
        <v>5</v>
      </c>
      <c r="C18" s="8">
        <v>652.6</v>
      </c>
      <c r="D18" s="8">
        <v>54.4</v>
      </c>
      <c r="E18" s="8">
        <f>37-E14</f>
        <v>27.7</v>
      </c>
      <c r="F18" s="18">
        <f t="shared" si="3"/>
        <v>8.3358872203493709E-2</v>
      </c>
      <c r="G18" s="18">
        <f t="shared" si="4"/>
        <v>9.352973452074452E-2</v>
      </c>
      <c r="H18" s="19">
        <v>0.223</v>
      </c>
      <c r="I18" s="19">
        <v>0.20899999999999999</v>
      </c>
    </row>
    <row r="19" spans="1:9">
      <c r="A19" s="11" t="s">
        <v>9</v>
      </c>
      <c r="B19" s="2" t="s">
        <v>6</v>
      </c>
      <c r="C19" s="8">
        <v>290.2</v>
      </c>
      <c r="D19" s="8">
        <v>38.799999999999997</v>
      </c>
      <c r="E19" s="8">
        <f>14.9-E15</f>
        <v>8.6000000000000014</v>
      </c>
      <c r="F19" s="18">
        <f t="shared" si="3"/>
        <v>0.13370089593383871</v>
      </c>
      <c r="G19" s="18">
        <f t="shared" si="4"/>
        <v>6.239796843823691E-2</v>
      </c>
      <c r="H19" s="19">
        <v>0.32700000000000001</v>
      </c>
      <c r="I19" s="19">
        <v>0.214</v>
      </c>
    </row>
    <row r="20" spans="1:9">
      <c r="A20" s="11" t="s">
        <v>10</v>
      </c>
      <c r="B20" s="2" t="s">
        <v>3</v>
      </c>
      <c r="C20" s="8">
        <v>4052.6</v>
      </c>
      <c r="D20" s="8">
        <v>57</v>
      </c>
      <c r="E20" s="8">
        <v>10.8</v>
      </c>
      <c r="F20" s="18">
        <f t="shared" si="3"/>
        <v>1.4065044662685683E-2</v>
      </c>
      <c r="G20" s="18">
        <f t="shared" si="4"/>
        <v>5.3390678877312681E-3</v>
      </c>
      <c r="H20" s="19">
        <v>7.4999999999999997E-2</v>
      </c>
      <c r="I20" s="19">
        <v>0.17599999999999999</v>
      </c>
    </row>
    <row r="21" spans="1:9">
      <c r="A21" s="11" t="s">
        <v>10</v>
      </c>
      <c r="B21" s="2" t="s">
        <v>4</v>
      </c>
      <c r="C21" s="8">
        <v>1889.2</v>
      </c>
      <c r="D21" s="8">
        <v>275</v>
      </c>
      <c r="E21" s="8">
        <v>40.200000000000003</v>
      </c>
      <c r="F21" s="18">
        <f t="shared" si="3"/>
        <v>0.14556426000423459</v>
      </c>
      <c r="G21" s="18">
        <f>E21/((C21+C17)/2)*2</f>
        <v>3.996520442400895E-2</v>
      </c>
      <c r="H21" s="19">
        <v>0.187</v>
      </c>
      <c r="I21" s="19">
        <v>0.17599999999999999</v>
      </c>
    </row>
    <row r="22" spans="1:9">
      <c r="A22" s="11" t="s">
        <v>10</v>
      </c>
      <c r="B22" s="2" t="s">
        <v>5</v>
      </c>
      <c r="C22" s="8">
        <v>614.1</v>
      </c>
      <c r="D22" s="8">
        <v>80.3</v>
      </c>
      <c r="E22" s="8">
        <v>26.3</v>
      </c>
      <c r="F22" s="18">
        <f t="shared" si="3"/>
        <v>0.13076046246539649</v>
      </c>
      <c r="G22" s="18">
        <f t="shared" si="4"/>
        <v>8.3050446040893663E-2</v>
      </c>
      <c r="H22" s="19">
        <v>0.17399999999999999</v>
      </c>
      <c r="I22" s="19">
        <v>0.17599999999999999</v>
      </c>
    </row>
    <row r="23" spans="1:9">
      <c r="A23" s="11" t="s">
        <v>10</v>
      </c>
      <c r="B23" s="2" t="s">
        <v>6</v>
      </c>
      <c r="C23" s="8">
        <v>276.8</v>
      </c>
      <c r="D23" s="8">
        <v>46.2</v>
      </c>
      <c r="E23" s="8">
        <v>9.6</v>
      </c>
      <c r="F23" s="18">
        <f t="shared" si="3"/>
        <v>0.16690751445086704</v>
      </c>
      <c r="G23" s="18">
        <f t="shared" si="4"/>
        <v>6.7724867724867716E-2</v>
      </c>
      <c r="H23" s="19">
        <v>0.27800000000000002</v>
      </c>
      <c r="I23" s="19">
        <v>0.186</v>
      </c>
    </row>
    <row r="24" spans="1:9">
      <c r="A24" s="11" t="s">
        <v>11</v>
      </c>
      <c r="B24" s="2" t="s">
        <v>3</v>
      </c>
      <c r="C24" s="8">
        <v>4364.8</v>
      </c>
      <c r="D24" s="8">
        <v>73.5</v>
      </c>
      <c r="E24" s="8">
        <f>26.6-E20</f>
        <v>15.8</v>
      </c>
      <c r="F24" s="18">
        <f t="shared" si="3"/>
        <v>1.6839259530791788E-2</v>
      </c>
      <c r="G24" s="18">
        <f t="shared" si="4"/>
        <v>7.5082567063463786E-3</v>
      </c>
      <c r="H24" s="19">
        <v>7.5999999999999998E-2</v>
      </c>
      <c r="I24" s="19">
        <v>0.122</v>
      </c>
    </row>
    <row r="25" spans="1:9">
      <c r="A25" s="11" t="s">
        <v>11</v>
      </c>
      <c r="B25" s="2" t="s">
        <v>4</v>
      </c>
      <c r="C25" s="8">
        <v>1644.8</v>
      </c>
      <c r="D25" s="8">
        <v>255.6</v>
      </c>
      <c r="E25" s="8">
        <f>59.8-E21</f>
        <v>19.599999999999994</v>
      </c>
      <c r="F25" s="18">
        <f t="shared" si="3"/>
        <v>0.15539883268482491</v>
      </c>
      <c r="G25" s="18">
        <f t="shared" si="4"/>
        <v>2.2184493491793994E-2</v>
      </c>
      <c r="H25" s="19">
        <v>0.14399999999999999</v>
      </c>
      <c r="I25" s="19">
        <v>0.122</v>
      </c>
    </row>
    <row r="26" spans="1:9">
      <c r="A26" s="11" t="s">
        <v>11</v>
      </c>
      <c r="B26" s="2" t="s">
        <v>5</v>
      </c>
      <c r="C26" s="8">
        <v>560.70000000000005</v>
      </c>
      <c r="D26" s="8">
        <v>91</v>
      </c>
      <c r="E26" s="8">
        <f>43.9-E22</f>
        <v>17.599999999999998</v>
      </c>
      <c r="F26" s="18">
        <f t="shared" si="3"/>
        <v>0.1622971285892634</v>
      </c>
      <c r="G26" s="18">
        <f t="shared" si="4"/>
        <v>5.9925093632958788E-2</v>
      </c>
      <c r="H26" s="19">
        <v>0.16900000000000001</v>
      </c>
      <c r="I26" s="19">
        <v>0.122</v>
      </c>
    </row>
    <row r="27" spans="1:9">
      <c r="A27" s="11" t="s">
        <v>11</v>
      </c>
      <c r="B27" s="2" t="s">
        <v>6</v>
      </c>
      <c r="C27" s="8">
        <v>248.9</v>
      </c>
      <c r="D27" s="8">
        <v>46.1</v>
      </c>
      <c r="E27" s="8">
        <f>16.6-E23</f>
        <v>7.0000000000000018</v>
      </c>
      <c r="F27" s="18">
        <f t="shared" si="3"/>
        <v>0.18521494576134995</v>
      </c>
      <c r="G27" s="18">
        <f t="shared" si="4"/>
        <v>5.3262316910785631E-2</v>
      </c>
      <c r="H27" s="19">
        <v>0.27100000000000002</v>
      </c>
      <c r="I27" s="19">
        <v>0.153</v>
      </c>
    </row>
    <row r="28" spans="1:9" ht="14.4" customHeight="1">
      <c r="A28" s="11" t="s">
        <v>12</v>
      </c>
      <c r="B28" s="2" t="s">
        <v>3</v>
      </c>
      <c r="C28" s="8">
        <v>4279.8</v>
      </c>
      <c r="D28" s="8">
        <v>89.4</v>
      </c>
      <c r="E28" s="8">
        <v>14.7</v>
      </c>
      <c r="F28" s="18">
        <f t="shared" si="3"/>
        <v>2.0888826580681339E-2</v>
      </c>
      <c r="G28" s="18">
        <f t="shared" si="4"/>
        <v>6.8019341554265084E-3</v>
      </c>
      <c r="H28" s="19">
        <v>0.09</v>
      </c>
      <c r="I28" s="19">
        <v>0.109</v>
      </c>
    </row>
    <row r="29" spans="1:9">
      <c r="A29" s="11" t="s">
        <v>12</v>
      </c>
      <c r="B29" s="2" t="s">
        <v>4</v>
      </c>
      <c r="C29" s="8">
        <v>1525.9</v>
      </c>
      <c r="D29" s="8">
        <v>246.7</v>
      </c>
      <c r="E29" s="8">
        <v>33.700000000000003</v>
      </c>
      <c r="F29" s="18">
        <f t="shared" si="3"/>
        <v>0.16167507700373548</v>
      </c>
      <c r="G29" s="18">
        <f t="shared" si="4"/>
        <v>4.2514271296559124E-2</v>
      </c>
      <c r="H29" s="19">
        <v>0.17499999999999999</v>
      </c>
      <c r="I29" s="19">
        <v>0.109</v>
      </c>
    </row>
    <row r="30" spans="1:9">
      <c r="A30" s="11" t="s">
        <v>12</v>
      </c>
      <c r="B30" s="2" t="s">
        <v>5</v>
      </c>
      <c r="C30" s="8">
        <v>543.9</v>
      </c>
      <c r="D30" s="8">
        <v>96.9</v>
      </c>
      <c r="E30" s="8">
        <v>12</v>
      </c>
      <c r="F30" s="18">
        <f t="shared" si="3"/>
        <v>0.17815774958632102</v>
      </c>
      <c r="G30" s="18">
        <f t="shared" si="4"/>
        <v>4.3454644215100494E-2</v>
      </c>
      <c r="H30" s="19">
        <v>0.16500000000000001</v>
      </c>
      <c r="I30" s="19">
        <v>0.109</v>
      </c>
    </row>
    <row r="31" spans="1:9">
      <c r="A31" s="11" t="s">
        <v>12</v>
      </c>
      <c r="B31" s="2" t="s">
        <v>6</v>
      </c>
      <c r="C31" s="8">
        <v>223.4</v>
      </c>
      <c r="D31" s="8">
        <v>47</v>
      </c>
      <c r="E31" s="8">
        <v>6.6</v>
      </c>
      <c r="F31" s="18">
        <f>D31/C31</f>
        <v>0.21038495971351834</v>
      </c>
      <c r="G31" s="18">
        <f t="shared" si="4"/>
        <v>5.5896675841626081E-2</v>
      </c>
      <c r="H31" s="19">
        <v>0.312</v>
      </c>
      <c r="I31" s="19">
        <v>0.13</v>
      </c>
    </row>
    <row r="37" spans="4:4">
      <c r="D37" s="9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="70" zoomScaleNormal="70" workbookViewId="0">
      <selection activeCell="B10" sqref="B10"/>
    </sheetView>
  </sheetViews>
  <sheetFormatPr defaultRowHeight="13.8"/>
  <cols>
    <col min="1" max="1" width="32.5" bestFit="1" customWidth="1"/>
    <col min="2" max="2" width="31.796875" bestFit="1" customWidth="1"/>
  </cols>
  <sheetData>
    <row r="1" spans="1:2">
      <c r="A1" s="10" t="s">
        <v>37</v>
      </c>
      <c r="B1" s="10" t="s">
        <v>38</v>
      </c>
    </row>
    <row r="2" spans="1:2">
      <c r="A2" s="16" t="s">
        <v>39</v>
      </c>
      <c r="B2" t="s">
        <v>48</v>
      </c>
    </row>
    <row r="3" spans="1:2">
      <c r="A3" s="16" t="s">
        <v>40</v>
      </c>
      <c r="B3" t="s">
        <v>47</v>
      </c>
    </row>
    <row r="4" spans="1:2">
      <c r="A4" s="16" t="s">
        <v>41</v>
      </c>
      <c r="B4" s="17" t="s">
        <v>46</v>
      </c>
    </row>
    <row r="5" spans="1:2">
      <c r="A5" s="16" t="s">
        <v>42</v>
      </c>
      <c r="B5" t="s">
        <v>45</v>
      </c>
    </row>
    <row r="6" spans="1:2">
      <c r="A6" s="16" t="s">
        <v>43</v>
      </c>
      <c r="B6" s="17" t="s">
        <v>44</v>
      </c>
    </row>
    <row r="7" spans="1:2">
      <c r="A7" s="16" t="s">
        <v>49</v>
      </c>
      <c r="B7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DATA_MASTER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Дзюбан</dc:creator>
  <cp:lastModifiedBy>Артём Дзюбан</cp:lastModifiedBy>
  <dcterms:created xsi:type="dcterms:W3CDTF">2026-09-05T18:16:11Z</dcterms:created>
  <dcterms:modified xsi:type="dcterms:W3CDTF">2026-09-06T20:27:55Z</dcterms:modified>
</cp:coreProperties>
</file>